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ExcelR\PROJECTS\"/>
    </mc:Choice>
  </mc:AlternateContent>
  <xr:revisionPtr revIDLastSave="0" documentId="13_ncr:1_{61557F97-BE62-4BD4-AEAF-28EC23C8EA5C}" xr6:coauthVersionLast="47" xr6:coauthVersionMax="47" xr10:uidLastSave="{00000000-0000-0000-0000-000000000000}"/>
  <bookViews>
    <workbookView xWindow="-120" yWindow="-120" windowWidth="20730" windowHeight="11160" tabRatio="798" activeTab="2" xr2:uid="{00000000-000D-0000-FFFF-FFFF00000000}"/>
  </bookViews>
  <sheets>
    <sheet name="Visuals" sheetId="5" r:id="rId1"/>
    <sheet name="PQE Table1" sheetId="3" r:id="rId2"/>
    <sheet name="Original Table " sheetId="1" r:id="rId3"/>
  </sheets>
  <definedNames>
    <definedName name="_xlnm._FilterDatabase" localSheetId="2" hidden="1">'Original Table '!$A$1:$L$201</definedName>
    <definedName name="_xlcn.WorksheetConnection_RPIS_Dataset.xlsxTable1_11" hidden="1">Table1_1[]</definedName>
    <definedName name="_xlcn.WorksheetConnection_RPIS_Dataset.xlsxTable11" hidden="1">Table1[]</definedName>
    <definedName name="ExternalData_1" localSheetId="1" hidden="1">'PQE Table1'!$A$1:$M$201</definedName>
  </definedNames>
  <calcPr calcId="191029"/>
  <extLst>
    <ext xmlns:x15="http://schemas.microsoft.com/office/spreadsheetml/2010/11/main" uri="{841E416B-1EF1-43b6-AB56-02D37102CBD5}">
      <x15:pivotCaches>
        <pivotCache cacheId="87" r:id="rId4"/>
        <pivotCache cacheId="149" r:id="rId5"/>
        <pivotCache cacheId="170" r:id="rId6"/>
        <pivotCache cacheId="200" r:id="rId7"/>
      </x15:pivotCaches>
    </ext>
    <ext xmlns:x15="http://schemas.microsoft.com/office/spreadsheetml/2010/11/main" uri="{983426D0-5260-488c-9760-48F4B6AC55F4}">
      <x15:pivotTableReferences>
        <x15:pivotTableReference r:id="rId8"/>
        <x15:pivotTableReference r:id="rId9"/>
        <x15:pivotTableReference r:id="rId10"/>
        <x15:pivotTableReference r:id="rId11"/>
      </x15:pivotTableReferences>
    </ext>
    <ext xmlns:x15="http://schemas.microsoft.com/office/spreadsheetml/2010/11/main" uri="{FCE2AD5D-F65C-4FA6-A056-5C36A1767C68}">
      <x15:dataModel>
        <x15:modelTables>
          <x15:modelTable id="Table1_1" name="Table1_1" connection="WorksheetConnection_RPIS_Dataset.xlsx!Table1_1"/>
          <x15:modelTable id="Table1" name="Table1" connection="WorksheetConnection_RPI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3B833C-F22F-4208-B11E-3E42288109D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B515C8E-6C08-428D-A890-CA237EC9909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39A3430-D9C4-4186-87C4-0A7E974E892B}" name="WorksheetConnection_RPI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PIS_Dataset.xlsxTable11"/>
        </x15:connection>
      </ext>
    </extLst>
  </connection>
  <connection id="4" xr16:uid="{290317F4-3ABB-43B5-AB98-1A25E40191A7}" name="WorksheetConnection_RPIS_Dataset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RPIS_Dataset.xlsxTable1_11"/>
        </x15:connection>
      </ext>
    </extLst>
  </connection>
</connections>
</file>

<file path=xl/sharedStrings.xml><?xml version="1.0" encoding="utf-8"?>
<sst xmlns="http://schemas.openxmlformats.org/spreadsheetml/2006/main" count="2426" uniqueCount="564">
  <si>
    <t>OrderID</t>
  </si>
  <si>
    <t>OrderDate</t>
  </si>
  <si>
    <t>Region</t>
  </si>
  <si>
    <t>Category</t>
  </si>
  <si>
    <t>SubCategory</t>
  </si>
  <si>
    <t>ProductName</t>
  </si>
  <si>
    <t>Quantity</t>
  </si>
  <si>
    <t>UnitPrice</t>
  </si>
  <si>
    <t>Sales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</si>
  <si>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</si>
  <si>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</si>
  <si>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</si>
  <si>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</si>
  <si>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</si>
  <si>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</si>
  <si>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</si>
  <si>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</si>
  <si>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</si>
  <si>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</si>
  <si>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</si>
  <si>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</si>
  <si>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</si>
  <si>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</si>
  <si>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</si>
  <si>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</si>
  <si>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</si>
  <si>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</si>
  <si>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</si>
  <si>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</si>
  <si>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</si>
  <si>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</si>
  <si>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</si>
  <si>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</si>
  <si>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</si>
  <si>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</si>
  <si>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</si>
  <si>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</si>
  <si>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</si>
  <si>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</si>
  <si>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</si>
  <si>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</si>
  <si>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</si>
  <si>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</si>
  <si>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</si>
  <si>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</si>
  <si>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</si>
  <si>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</si>
  <si>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</si>
  <si>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</si>
  <si>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</si>
  <si>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</si>
  <si>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</si>
  <si>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</si>
  <si>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</si>
  <si>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</si>
  <si>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</si>
  <si>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</si>
  <si>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</si>
  <si>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</si>
  <si>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</si>
  <si>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</si>
  <si>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</si>
  <si>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</si>
  <si>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</si>
  <si>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</si>
  <si>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</si>
  <si>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</si>
  <si>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</si>
  <si>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</si>
  <si>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</si>
  <si>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</si>
  <si>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</si>
  <si>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</si>
  <si>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</si>
  <si>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</si>
  <si>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</si>
  <si>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</si>
  <si>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</si>
  <si>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</si>
  <si>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</si>
  <si>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</si>
  <si>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</si>
  <si>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</si>
  <si>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</si>
  <si>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</si>
  <si>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</si>
  <si>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</si>
  <si>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</si>
  <si>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</si>
  <si>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</si>
  <si>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</si>
  <si>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</si>
  <si>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</si>
  <si>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</si>
  <si>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</si>
  <si>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</si>
  <si>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</si>
  <si>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</si>
  <si>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</si>
  <si>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</si>
  <si>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</si>
  <si>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</si>
  <si>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</si>
  <si>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</si>
  <si>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</si>
  <si>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</si>
  <si>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</si>
  <si>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</si>
  <si>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</si>
  <si>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</si>
  <si>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</si>
  <si>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</si>
  <si>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</si>
  <si>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</si>
  <si>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</si>
  <si>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</si>
  <si>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</si>
  <si>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</si>
  <si>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</si>
  <si>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</si>
  <si>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</si>
  <si>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</si>
  <si>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</si>
  <si>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</si>
  <si>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</si>
  <si>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</si>
  <si>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</si>
  <si>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</si>
  <si>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</si>
  <si>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</si>
  <si>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</si>
  <si>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</si>
  <si>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</si>
  <si>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</si>
  <si>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</si>
  <si>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</si>
  <si>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</si>
  <si>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</si>
  <si>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</si>
  <si>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</si>
  <si>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</si>
  <si>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</si>
  <si>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</si>
  <si>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</si>
  <si>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</si>
  <si>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</si>
  <si>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</si>
  <si>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</si>
  <si>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</si>
  <si>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</si>
  <si>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</si>
  <si>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</si>
  <si>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</si>
  <si>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</si>
  <si>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</si>
  <si>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</si>
  <si>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</si>
  <si>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</si>
  <si>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</si>
  <si>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</si>
  <si>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</si>
  <si>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</si>
  <si>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</si>
  <si>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</si>
  <si>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</si>
  <si>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</si>
  <si>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</si>
  <si>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</si>
  <si>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</si>
  <si>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</si>
  <si>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</si>
  <si>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</si>
  <si>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</si>
  <si>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</si>
  <si>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</si>
  <si>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</si>
  <si>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</si>
  <si>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</si>
  <si>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</si>
  <si>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</si>
  <si>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</si>
  <si>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</si>
  <si>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</si>
  <si>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</si>
  <si>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</si>
  <si>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</si>
  <si>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</si>
  <si>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</si>
  <si>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</si>
  <si>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</si>
  <si>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</si>
  <si>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</si>
  <si>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</si>
  <si>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</si>
  <si>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</si>
  <si>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</si>
  <si>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</si>
  <si>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</si>
  <si>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</si>
  <si>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</si>
  <si>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</si>
  <si>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</si>
  <si>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</si>
  <si>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</si>
  <si>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</si>
  <si>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</si>
  <si>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</si>
  <si>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</si>
  <si>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</si>
  <si>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</si>
  <si>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South</t>
  </si>
  <si>
    <t>East</t>
  </si>
  <si>
    <t>North</t>
  </si>
  <si>
    <t>West</t>
  </si>
  <si>
    <t>Furniture</t>
  </si>
  <si>
    <t>Office Supplies</t>
  </si>
  <si>
    <t>Technology</t>
  </si>
  <si>
    <t>Tables</t>
  </si>
  <si>
    <t>Binders</t>
  </si>
  <si>
    <t>Phones</t>
  </si>
  <si>
    <t>Storage</t>
  </si>
  <si>
    <t>Laptops</t>
  </si>
  <si>
    <t>Art</t>
  </si>
  <si>
    <t>Accessories</t>
  </si>
  <si>
    <t>Chairs</t>
  </si>
  <si>
    <t>Paper</t>
  </si>
  <si>
    <t>Tables Model 22</t>
  </si>
  <si>
    <t>Binders Model 2</t>
  </si>
  <si>
    <t>Binders Model 1</t>
  </si>
  <si>
    <t>Phones Model 11</t>
  </si>
  <si>
    <t>Storage Model 10</t>
  </si>
  <si>
    <t>Laptops Model 25</t>
  </si>
  <si>
    <t>Laptops Model 19</t>
  </si>
  <si>
    <t>Art Model 25</t>
  </si>
  <si>
    <t>Tables Model 16</t>
  </si>
  <si>
    <t>Accessories Model 24</t>
  </si>
  <si>
    <t>Laptops Model 2</t>
  </si>
  <si>
    <t>Art Model 24</t>
  </si>
  <si>
    <t>Art Model 14</t>
  </si>
  <si>
    <t>Storage Model 27</t>
  </si>
  <si>
    <t>Laptops Model 30</t>
  </si>
  <si>
    <t>Tables Model 11</t>
  </si>
  <si>
    <t>Chairs Model 14</t>
  </si>
  <si>
    <t>Phones Model 18</t>
  </si>
  <si>
    <t>Binders Model 28</t>
  </si>
  <si>
    <t>Accessories Model 12</t>
  </si>
  <si>
    <t>Paper Model 2</t>
  </si>
  <si>
    <t>Art Model 15</t>
  </si>
  <si>
    <t>Laptops Model 17</t>
  </si>
  <si>
    <t>Phones Model 3</t>
  </si>
  <si>
    <t>Storage Model 24</t>
  </si>
  <si>
    <t>Laptops Model 26</t>
  </si>
  <si>
    <t>Phones Model 25</t>
  </si>
  <si>
    <t>Paper Model 8</t>
  </si>
  <si>
    <t>Art Model 26</t>
  </si>
  <si>
    <t>Laptops Model 10</t>
  </si>
  <si>
    <t>Tables Model 10</t>
  </si>
  <si>
    <t>Tables Model 20</t>
  </si>
  <si>
    <t>Phones Model 9</t>
  </si>
  <si>
    <t>Art Model 11</t>
  </si>
  <si>
    <t>Paper Model 6</t>
  </si>
  <si>
    <t>Laptops Model 29</t>
  </si>
  <si>
    <t>Laptops Model 13</t>
  </si>
  <si>
    <t>Phones Model 28</t>
  </si>
  <si>
    <t>Paper Model 4</t>
  </si>
  <si>
    <t>Accessories Model 28</t>
  </si>
  <si>
    <t>Laptops Model 12</t>
  </si>
  <si>
    <t>Paper Model 21</t>
  </si>
  <si>
    <t>Phones Model 10</t>
  </si>
  <si>
    <t>Binders Model 30</t>
  </si>
  <si>
    <t>Binders Model 5</t>
  </si>
  <si>
    <t>Laptops Model 18</t>
  </si>
  <si>
    <t>Art Model 13</t>
  </si>
  <si>
    <t>Paper Model 12</t>
  </si>
  <si>
    <t>Chairs Model 27</t>
  </si>
  <si>
    <t>Phones Model 29</t>
  </si>
  <si>
    <t>Paper Model 24</t>
  </si>
  <si>
    <t>Art Model 2</t>
  </si>
  <si>
    <t>Storage Model 8</t>
  </si>
  <si>
    <t>Art Model 12</t>
  </si>
  <si>
    <t>Tables Model 30</t>
  </si>
  <si>
    <t>Paper Model 16</t>
  </si>
  <si>
    <t>Storage Model 19</t>
  </si>
  <si>
    <t>Storage Model 3</t>
  </si>
  <si>
    <t>Phones Model 17</t>
  </si>
  <si>
    <t>Storage Model 23</t>
  </si>
  <si>
    <t>Phones Model 8</t>
  </si>
  <si>
    <t>Laptops Model 16</t>
  </si>
  <si>
    <t>Tables Model 26</t>
  </si>
  <si>
    <t>Binders Model 25</t>
  </si>
  <si>
    <t>Chairs Model 29</t>
  </si>
  <si>
    <t>Laptops Model 15</t>
  </si>
  <si>
    <t>Accessories Model 20</t>
  </si>
  <si>
    <t>Art Model 8</t>
  </si>
  <si>
    <t>Storage Model 17</t>
  </si>
  <si>
    <t>Art Model 6</t>
  </si>
  <si>
    <t>Paper Model 7</t>
  </si>
  <si>
    <t>Binders Model 27</t>
  </si>
  <si>
    <t>Accessories Model 17</t>
  </si>
  <si>
    <t>Chairs Model 5</t>
  </si>
  <si>
    <t>Laptops Model 4</t>
  </si>
  <si>
    <t>Phones Model 6</t>
  </si>
  <si>
    <t>Phones Model 24</t>
  </si>
  <si>
    <t>Art Model 28</t>
  </si>
  <si>
    <t>Accessories Model 8</t>
  </si>
  <si>
    <t>Binders Model 4</t>
  </si>
  <si>
    <t>Accessories Model 23</t>
  </si>
  <si>
    <t>Chairs Model 7</t>
  </si>
  <si>
    <t>Tables Model 12</t>
  </si>
  <si>
    <t>Art Model 29</t>
  </si>
  <si>
    <t>Art Model 21</t>
  </si>
  <si>
    <t>Chairs Model 22</t>
  </si>
  <si>
    <t>Chairs Model 17</t>
  </si>
  <si>
    <t>Storage Model 26</t>
  </si>
  <si>
    <t>Paper Model 15</t>
  </si>
  <si>
    <t>Chairs Model 19</t>
  </si>
  <si>
    <t>Tables Model 9</t>
  </si>
  <si>
    <t>Phones Model 12</t>
  </si>
  <si>
    <t>Storage Model 13</t>
  </si>
  <si>
    <t>Accessories Model 26</t>
  </si>
  <si>
    <t>Art Model 17</t>
  </si>
  <si>
    <t>Tables Model 1</t>
  </si>
  <si>
    <t>Laptops Model 7</t>
  </si>
  <si>
    <t>Paper Model 17</t>
  </si>
  <si>
    <t>Paper Model 10</t>
  </si>
  <si>
    <t>Storage Model 2</t>
  </si>
  <si>
    <t>Paper Model 13</t>
  </si>
  <si>
    <t>Tables Model 29</t>
  </si>
  <si>
    <t>Accessories Model 11</t>
  </si>
  <si>
    <t>Accessories Model 1</t>
  </si>
  <si>
    <t>Laptops Model 28</t>
  </si>
  <si>
    <t>Tables Model 2</t>
  </si>
  <si>
    <t>Chairs Model 23</t>
  </si>
  <si>
    <t>Art Model 3</t>
  </si>
  <si>
    <t>Chairs Model 25</t>
  </si>
  <si>
    <t>Art Model 22</t>
  </si>
  <si>
    <t>Accessories Model 18</t>
  </si>
  <si>
    <t>Storage Model 20</t>
  </si>
  <si>
    <t>Laptops Model 1</t>
  </si>
  <si>
    <t>Accessories Model 3</t>
  </si>
  <si>
    <t>Accessories Model 16</t>
  </si>
  <si>
    <t>Binders Model 10</t>
  </si>
  <si>
    <t>Binders Model 9</t>
  </si>
  <si>
    <t>Laptops Model 14</t>
  </si>
  <si>
    <t>Phones Model 26</t>
  </si>
  <si>
    <t>Paper Model 20</t>
  </si>
  <si>
    <t>Phones Model 4</t>
  </si>
  <si>
    <t>Chairs Model 1</t>
  </si>
  <si>
    <t>Art Model 23</t>
  </si>
  <si>
    <t>Chairs Model 4</t>
  </si>
  <si>
    <t>Tables Model 18</t>
  </si>
  <si>
    <t>Laptops Model 23</t>
  </si>
  <si>
    <t>Tables Model 19</t>
  </si>
  <si>
    <t>Chairs Model 15</t>
  </si>
  <si>
    <t>Binders Model 19</t>
  </si>
  <si>
    <t>Laptops Model 21</t>
  </si>
  <si>
    <t>Paper Model 19</t>
  </si>
  <si>
    <t>Paper Model 26</t>
  </si>
  <si>
    <t>Binders Model 22</t>
  </si>
  <si>
    <t>Chairs Model 12</t>
  </si>
  <si>
    <t>Storage Model 28</t>
  </si>
  <si>
    <t>Chairs Model 3</t>
  </si>
  <si>
    <t>Accessories Model 25</t>
  </si>
  <si>
    <t>Accessories Model 5</t>
  </si>
  <si>
    <t>Paper Model 14</t>
  </si>
  <si>
    <t>Laptops Model 24</t>
  </si>
  <si>
    <t>Storage Model 15</t>
  </si>
  <si>
    <t>Chairs Model 20</t>
  </si>
  <si>
    <t>Art Model 19</t>
  </si>
  <si>
    <t>Chairs Model 11</t>
  </si>
  <si>
    <t>Storage Model 7</t>
  </si>
  <si>
    <t>Paper Model 23</t>
  </si>
  <si>
    <t>Binders Model 21</t>
  </si>
  <si>
    <t>Chairs Model 13</t>
  </si>
  <si>
    <t>Storage Model 21</t>
  </si>
  <si>
    <t>Profit Margin</t>
  </si>
  <si>
    <t>Month</t>
  </si>
  <si>
    <t>30-01-2022</t>
  </si>
  <si>
    <t>18-05-2022</t>
  </si>
  <si>
    <t>17-01-2022</t>
  </si>
  <si>
    <t>26-11-2023</t>
  </si>
  <si>
    <t>10-08-2023</t>
  </si>
  <si>
    <t>03-02-2022</t>
  </si>
  <si>
    <t>27-02-2023</t>
  </si>
  <si>
    <t>03-10-2022</t>
  </si>
  <si>
    <t>11-12-2022</t>
  </si>
  <si>
    <t>06-02-2023</t>
  </si>
  <si>
    <t>25-05-2023</t>
  </si>
  <si>
    <t>25-07-2022</t>
  </si>
  <si>
    <t>09-11-2023</t>
  </si>
  <si>
    <t>07-08-2022</t>
  </si>
  <si>
    <t>10-08-2022</t>
  </si>
  <si>
    <t>17-06-2022</t>
  </si>
  <si>
    <t>02-01-2023</t>
  </si>
  <si>
    <t>10-10-2023</t>
  </si>
  <si>
    <t>10-04-2023</t>
  </si>
  <si>
    <t>03-10-2023</t>
  </si>
  <si>
    <t>18-10-2023</t>
  </si>
  <si>
    <t>08-09-2023</t>
  </si>
  <si>
    <t>16-07-2022</t>
  </si>
  <si>
    <t>11-07-2023</t>
  </si>
  <si>
    <t>23-08-2023</t>
  </si>
  <si>
    <t>04-08-2023</t>
  </si>
  <si>
    <t>27-08-2022</t>
  </si>
  <si>
    <t>16-04-2023</t>
  </si>
  <si>
    <t>01-05-2023</t>
  </si>
  <si>
    <t>01-06-2023</t>
  </si>
  <si>
    <t>14-06-2023</t>
  </si>
  <si>
    <t>15-11-2023</t>
  </si>
  <si>
    <t>09-08-2023</t>
  </si>
  <si>
    <t>07-03-2022</t>
  </si>
  <si>
    <t>09-12-2022</t>
  </si>
  <si>
    <t>12-10-2022</t>
  </si>
  <si>
    <t>10-10-2022</t>
  </si>
  <si>
    <t>15-05-2023</t>
  </si>
  <si>
    <t>24-11-2023</t>
  </si>
  <si>
    <t>18-03-2023</t>
  </si>
  <si>
    <t>22-04-2022</t>
  </si>
  <si>
    <t>24-11-2022</t>
  </si>
  <si>
    <t>19-03-2022</t>
  </si>
  <si>
    <t>12-03-2023</t>
  </si>
  <si>
    <t>30-11-2023</t>
  </si>
  <si>
    <t>24-09-2023</t>
  </si>
  <si>
    <t>06-11-2023</t>
  </si>
  <si>
    <t>14-11-2023</t>
  </si>
  <si>
    <t>29-06-2022</t>
  </si>
  <si>
    <t>30-06-2023</t>
  </si>
  <si>
    <t>03-09-2023</t>
  </si>
  <si>
    <t>15-07-2023</t>
  </si>
  <si>
    <t>19-09-2022</t>
  </si>
  <si>
    <t>05-12-2022</t>
  </si>
  <si>
    <t>23-03-2022</t>
  </si>
  <si>
    <t>27-08-2023</t>
  </si>
  <si>
    <t>29-11-2022</t>
  </si>
  <si>
    <t>27-09-2023</t>
  </si>
  <si>
    <t>07-01-2022</t>
  </si>
  <si>
    <t>11-05-2022</t>
  </si>
  <si>
    <t>03-06-2022</t>
  </si>
  <si>
    <t>07-12-2022</t>
  </si>
  <si>
    <t>15-05-2022</t>
  </si>
  <si>
    <t>09-05-2022</t>
  </si>
  <si>
    <t>24-04-2022</t>
  </si>
  <si>
    <t>13-04-2023</t>
  </si>
  <si>
    <t>30-11-2022</t>
  </si>
  <si>
    <t>12-05-2023</t>
  </si>
  <si>
    <t>29-03-2023</t>
  </si>
  <si>
    <t>08-05-2022</t>
  </si>
  <si>
    <t>28-12-2022</t>
  </si>
  <si>
    <t>02-04-2023</t>
  </si>
  <si>
    <t>26-04-2022</t>
  </si>
  <si>
    <t>17-08-2022</t>
  </si>
  <si>
    <t>12-09-2023</t>
  </si>
  <si>
    <t>27-05-2022</t>
  </si>
  <si>
    <t>15-10-2022</t>
  </si>
  <si>
    <t>14-08-2023</t>
  </si>
  <si>
    <t>24-06-2022</t>
  </si>
  <si>
    <t>29-03-2022</t>
  </si>
  <si>
    <t>22-07-2023</t>
  </si>
  <si>
    <t>16-11-2022</t>
  </si>
  <si>
    <t>10-01-2023</t>
  </si>
  <si>
    <t>06-08-2023</t>
  </si>
  <si>
    <t>26-07-2023</t>
  </si>
  <si>
    <t>08-02-2022</t>
  </si>
  <si>
    <t>12-12-2022</t>
  </si>
  <si>
    <t>28-02-2022</t>
  </si>
  <si>
    <t>24-02-2022</t>
  </si>
  <si>
    <t>20-07-2022</t>
  </si>
  <si>
    <t>15-07-2022</t>
  </si>
  <si>
    <t>30-10-2023</t>
  </si>
  <si>
    <t>31-07-2023</t>
  </si>
  <si>
    <t>23-11-2022</t>
  </si>
  <si>
    <t>09-03-2022</t>
  </si>
  <si>
    <t>24-03-2022</t>
  </si>
  <si>
    <t>15-02-2023</t>
  </si>
  <si>
    <t>17-05-2022</t>
  </si>
  <si>
    <t>01-06-2022</t>
  </si>
  <si>
    <t>05-04-2023</t>
  </si>
  <si>
    <t>21-02-2023</t>
  </si>
  <si>
    <t>28-09-2023</t>
  </si>
  <si>
    <t>14-04-2023</t>
  </si>
  <si>
    <t>10-02-2022</t>
  </si>
  <si>
    <t>13-09-2023</t>
  </si>
  <si>
    <t>03-02-2023</t>
  </si>
  <si>
    <t>20-08-2022</t>
  </si>
  <si>
    <t>19-06-2022</t>
  </si>
  <si>
    <t>27-06-2022</t>
  </si>
  <si>
    <t>19-10-2022</t>
  </si>
  <si>
    <t>30-05-2022</t>
  </si>
  <si>
    <t>08-03-2022</t>
  </si>
  <si>
    <t>19-02-2022</t>
  </si>
  <si>
    <t>21-01-2023</t>
  </si>
  <si>
    <t>10-04-2022</t>
  </si>
  <si>
    <t>29-12-2022</t>
  </si>
  <si>
    <t>29-09-2023</t>
  </si>
  <si>
    <t>03-04-2022</t>
  </si>
  <si>
    <t>27-07-2022</t>
  </si>
  <si>
    <t>22-12-2022</t>
  </si>
  <si>
    <t>21-10-2023</t>
  </si>
  <si>
    <t>02-08-2023</t>
  </si>
  <si>
    <t>09-07-2023</t>
  </si>
  <si>
    <t>13-03-2023</t>
  </si>
  <si>
    <t>19-12-2022</t>
  </si>
  <si>
    <t>02-09-2022</t>
  </si>
  <si>
    <t>03-01-2023</t>
  </si>
  <si>
    <t>17-11-2023</t>
  </si>
  <si>
    <t>22-02-2023</t>
  </si>
  <si>
    <t>21-11-2023</t>
  </si>
  <si>
    <t>12-11-2022</t>
  </si>
  <si>
    <t>14-10-2022</t>
  </si>
  <si>
    <t>26-02-2023</t>
  </si>
  <si>
    <t>20-02-2023</t>
  </si>
  <si>
    <t>13-05-2023</t>
  </si>
  <si>
    <t>10-02-2023</t>
  </si>
  <si>
    <t>25-04-2023</t>
  </si>
  <si>
    <t>21-07-2022</t>
  </si>
  <si>
    <t>17-09-2023</t>
  </si>
  <si>
    <t>08-04-2023</t>
  </si>
  <si>
    <t>26-03-2022</t>
  </si>
  <si>
    <t>10-09-2022</t>
  </si>
  <si>
    <t>02-11-2022</t>
  </si>
  <si>
    <t>19-02-2023</t>
  </si>
  <si>
    <t>16-08-2022</t>
  </si>
  <si>
    <t>25-11-2022</t>
  </si>
  <si>
    <t>11-06-2022</t>
  </si>
  <si>
    <t>24-12-2022</t>
  </si>
  <si>
    <t>19-08-2022</t>
  </si>
  <si>
    <t>26-05-2022</t>
  </si>
  <si>
    <t>13-10-2022</t>
  </si>
  <si>
    <t>20-12-2022</t>
  </si>
  <si>
    <t>13-06-2022</t>
  </si>
  <si>
    <t>07-06-2023</t>
  </si>
  <si>
    <t>02-12-2023</t>
  </si>
  <si>
    <t>12-02-2022</t>
  </si>
  <si>
    <t>23-07-2023</t>
  </si>
  <si>
    <t>30-04-2022</t>
  </si>
  <si>
    <t>21-12-2022</t>
  </si>
  <si>
    <t>26-11-2022</t>
  </si>
  <si>
    <t>25-08-2023</t>
  </si>
  <si>
    <t>25-02-2023</t>
  </si>
  <si>
    <t>14-08-2022</t>
  </si>
  <si>
    <t>07-06-2022</t>
  </si>
  <si>
    <t>05-11-2023</t>
  </si>
  <si>
    <t>25-05-2022</t>
  </si>
  <si>
    <t>25-03-2022</t>
  </si>
  <si>
    <t>21-06-2022</t>
  </si>
  <si>
    <t>13-07-2023</t>
  </si>
  <si>
    <t>20-09-2023</t>
  </si>
  <si>
    <t>16-10-2023</t>
  </si>
  <si>
    <t>21-10-2022</t>
  </si>
  <si>
    <t>15-10-2023</t>
  </si>
  <si>
    <t>11-10-2023</t>
  </si>
  <si>
    <t>year</t>
  </si>
  <si>
    <t>Jan</t>
  </si>
  <si>
    <t>May</t>
  </si>
  <si>
    <t>Nov</t>
  </si>
  <si>
    <t>Aug</t>
  </si>
  <si>
    <t>Feb</t>
  </si>
  <si>
    <t>Oct</t>
  </si>
  <si>
    <t>Dec</t>
  </si>
  <si>
    <t>Jul</t>
  </si>
  <si>
    <t>Jun</t>
  </si>
  <si>
    <t>Apr</t>
  </si>
  <si>
    <t>Sep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</si>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</sst>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Table" Target="pivotTables/pivotTable4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Table" Target="pivotTables/pivotTabl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1.xml"/><Relationship Id="rId9" Type="http://schemas.openxmlformats.org/officeDocument/2006/relationships/pivotTable" Target="pivotTables/pivotTable2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Table" Target="pivotTables/pivotTabl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overlay val="0"/>
      <c:spPr>
        <a:gradFill rotWithShape="1">
          <a:gsLst>
            <a:gs pos="0">
              <a:schemeClr val="accent2">
                <a:tint val="50000"/>
                <a:satMod val="300000"/>
              </a:schemeClr>
            </a:gs>
            <a:gs pos="35000">
              <a:schemeClr val="accent2">
                <a:tint val="37000"/>
                <a:satMod val="300000"/>
              </a:schemeClr>
            </a:gs>
            <a:gs pos="100000">
              <a:schemeClr val="accent2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2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82682</c:v>
              </c:pt>
              <c:pt idx="1">
                <c:v>85967</c:v>
              </c:pt>
              <c:pt idx="2">
                <c:v>108322</c:v>
              </c:pt>
            </c:numLit>
          </c:val>
          <c:extLst>
            <c:ext xmlns:c16="http://schemas.microsoft.com/office/drawing/2014/chart" uri="{C3380CC4-5D6E-409C-BE32-E72D297353CC}">
              <c16:uniqueId val="{00000000-89BB-45EE-BF1F-C167AE1801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5014991"/>
        <c:axId val="395022191"/>
      </c:barChart>
      <c:catAx>
        <c:axId val="395014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 b="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accent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22191"/>
        <c:crosses val="autoZero"/>
        <c:auto val="1"/>
        <c:lblAlgn val="ctr"/>
        <c:lblOffset val="100"/>
        <c:tickMarkSkip val="1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95022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>
                    <a:solidFill>
                      <a:schemeClr val="tx1"/>
                    </a:solidFill>
                  </a:rPr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accent2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1499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alpha val="87000"/>
        </a:schemeClr>
      </a:solidFill>
      <a:round/>
    </a:ln>
    <a:effectLst>
      <a:outerShdw blurRad="50800" dist="50800" dir="5400000" algn="ctr" rotWithShape="0">
        <a:schemeClr val="bg2"/>
      </a:outerShdw>
    </a:effectLst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extLst>
    <c:ext xmlns:c15="http://schemas.microsoft.com/office/drawing/2012/chart" uri="{723BEF56-08C2-4564-9609-F4CBC75E7E54}">
      <c15:pivotSource>
        <c15:name>[RPIS_Dataset1.xlsx]PivotChartTable1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overlay val="0"/>
      <c:spPr>
        <a:gradFill rotWithShape="1">
          <a:gsLst>
            <a:gs pos="0">
              <a:schemeClr val="accent2">
                <a:tint val="50000"/>
                <a:satMod val="300000"/>
              </a:schemeClr>
            </a:gs>
            <a:gs pos="35000">
              <a:schemeClr val="accent2">
                <a:tint val="37000"/>
                <a:satMod val="300000"/>
              </a:schemeClr>
            </a:gs>
            <a:gs pos="100000">
              <a:schemeClr val="accent2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2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>
            <a:outerShdw blurRad="50800" dist="50800" dir="5400000" algn="ctr" rotWithShape="0">
              <a:srgbClr val="0070C0"/>
            </a:outerShdw>
          </a:effectLst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2"/>
              </a:solidFill>
            </a:ln>
            <a:effectLst>
              <a:outerShdw blurRad="50800" dist="50800" dir="5400000" algn="ctr" rotWithShape="0">
                <a:srgbClr val="0070C0"/>
              </a:outerShdw>
            </a:effectLst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>
            <a:outerShdw blurRad="50800" dist="50800" dir="5400000" algn="ctr" rotWithShape="0">
              <a:srgbClr val="0070C0"/>
            </a:outerShdw>
          </a:effectLst>
        </c:spPr>
        <c:marker>
          <c:symbol val="diamond"/>
          <c:size val="5"/>
        </c:marker>
      </c:pivotFmt>
    </c:pivotFmts>
    <c:plotArea>
      <c:layout>
        <c:manualLayout>
          <c:layoutTarget val="inner"/>
          <c:xMode val="edge"/>
          <c:yMode val="edge"/>
          <c:x val="0.11560886532382904"/>
          <c:y val="0.17251162790697674"/>
          <c:w val="0.85195986882486863"/>
          <c:h val="0.6209613623878410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50800" dir="5400000" algn="ctr" rotWithShape="0">
                <a:srgbClr val="0070C0"/>
              </a:outerShdw>
            </a:effectLst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>
                <a:outerShdw blurRad="50800" dist="50800" dir="5400000" algn="ctr" rotWithShape="0">
                  <a:srgbClr val="0070C0"/>
                </a:outerShdw>
              </a:effectLst>
            </c:spPr>
          </c:marker>
          <c:dPt>
            <c:idx val="8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2"/>
                  </a:solidFill>
                </a:ln>
                <a:effectLst>
                  <a:outerShdw blurRad="50800" dist="50800" dir="5400000" algn="ctr" rotWithShape="0">
                    <a:srgbClr val="0070C0"/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39A-49F4-BAEE-B46ECAFADD68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Apr</c:v>
              </c:pt>
              <c:pt idx="1">
                <c:v>Aug</c:v>
              </c:pt>
              <c:pt idx="2">
                <c:v>Dec</c:v>
              </c:pt>
              <c:pt idx="3">
                <c:v>Feb</c:v>
              </c:pt>
              <c:pt idx="4">
                <c:v>Jan</c:v>
              </c:pt>
              <c:pt idx="5">
                <c:v>Jul</c:v>
              </c:pt>
              <c:pt idx="6">
                <c:v>Jun</c:v>
              </c:pt>
              <c:pt idx="7">
                <c:v>Mar</c:v>
              </c:pt>
              <c:pt idx="8">
                <c:v>May</c:v>
              </c:pt>
              <c:pt idx="9">
                <c:v>Nov</c:v>
              </c:pt>
              <c:pt idx="10">
                <c:v>Oct</c:v>
              </c:pt>
              <c:pt idx="11">
                <c:v>Sep</c:v>
              </c:pt>
            </c:strLit>
          </c:cat>
          <c:val>
            <c:numLit>
              <c:formatCode>General</c:formatCode>
              <c:ptCount val="12"/>
              <c:pt idx="0">
                <c:v>21697</c:v>
              </c:pt>
              <c:pt idx="1">
                <c:v>28840</c:v>
              </c:pt>
              <c:pt idx="2">
                <c:v>22460</c:v>
              </c:pt>
              <c:pt idx="3">
                <c:v>32375</c:v>
              </c:pt>
              <c:pt idx="4">
                <c:v>14609</c:v>
              </c:pt>
              <c:pt idx="5">
                <c:v>20680</c:v>
              </c:pt>
              <c:pt idx="6">
                <c:v>23040</c:v>
              </c:pt>
              <c:pt idx="7">
                <c:v>21796</c:v>
              </c:pt>
              <c:pt idx="8">
                <c:v>16845</c:v>
              </c:pt>
              <c:pt idx="9">
                <c:v>32944</c:v>
              </c:pt>
              <c:pt idx="10">
                <c:v>18864</c:v>
              </c:pt>
              <c:pt idx="11">
                <c:v>22821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239A-49F4-BAEE-B46ECAFADD68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507152"/>
        <c:axId val="164500432"/>
      </c:lineChart>
      <c:valAx>
        <c:axId val="164500432"/>
        <c:scaling>
          <c:orientation val="minMax"/>
        </c:scaling>
        <c:delete val="0"/>
        <c:axPos val="l"/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accent2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715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6450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0432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gradFill rotWithShape="1">
          <a:gsLst>
            <a:gs pos="0">
              <a:schemeClr val="accent3">
                <a:tint val="50000"/>
                <a:satMod val="300000"/>
              </a:schemeClr>
            </a:gs>
            <a:gs pos="35000">
              <a:schemeClr val="accent3">
                <a:tint val="37000"/>
                <a:satMod val="300000"/>
              </a:schemeClr>
            </a:gs>
            <a:gs pos="100000">
              <a:schemeClr val="accent3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extLst>
    <c:ext xmlns:c15="http://schemas.microsoft.com/office/drawing/2012/chart" uri="{723BEF56-08C2-4564-9609-F4CBC75E7E54}">
      <c15:pivotSource>
        <c15:name>[RPIS_Dataset1.xlsx]PivotChartTable3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gradFill rotWithShape="1">
          <a:gsLst>
            <a:gs pos="0">
              <a:schemeClr val="accent2">
                <a:tint val="50000"/>
                <a:satMod val="300000"/>
              </a:schemeClr>
            </a:gs>
            <a:gs pos="35000">
              <a:schemeClr val="accent2">
                <a:tint val="37000"/>
                <a:satMod val="300000"/>
              </a:schemeClr>
            </a:gs>
            <a:gs pos="100000">
              <a:schemeClr val="accent2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2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75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3"/>
          </a:solidFill>
          <a:ln>
            <a:solidFill>
              <a:schemeClr val="tx2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tx2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62-4CC9-BFB2-AF1221026AC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B62-4CC9-BFB2-AF1221026AC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tx2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tx2"/>
                </a:solidFill>
              </a:ln>
              <a:effectLst/>
            </c:spPr>
          </c:dPt>
          <c:dLbls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92148</c:v>
              </c:pt>
              <c:pt idx="1">
                <c:v>55945</c:v>
              </c:pt>
              <c:pt idx="2">
                <c:v>69532</c:v>
              </c:pt>
              <c:pt idx="3">
                <c:v>59346</c:v>
              </c:pt>
            </c:numLit>
          </c:val>
          <c:extLst>
            <c:ext xmlns:c16="http://schemas.microsoft.com/office/drawing/2014/chart" uri="{C3380CC4-5D6E-409C-BE32-E72D297353CC}">
              <c16:uniqueId val="{00000003-9B62-4CC9-BFB2-AF1221026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extLst>
    <c:ext xmlns:c15="http://schemas.microsoft.com/office/drawing/2012/chart" uri="{723BEF56-08C2-4564-9609-F4CBC75E7E54}">
      <c15:pivotSource>
        <c15:name>[RPIS_Dataset1.xlsx]PivotChartTable4</c15:name>
        <c15:fmtId val="0"/>
      </c15:pivotSource>
      <c15:pivotOptions>
        <c15:dropZoneFilter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Sub-Category Wise sales</a:t>
            </a:r>
          </a:p>
        </c:rich>
      </c:tx>
      <c:overlay val="0"/>
      <c:spPr>
        <a:gradFill rotWithShape="1">
          <a:gsLst>
            <a:gs pos="0">
              <a:schemeClr val="accent2">
                <a:tint val="50000"/>
                <a:satMod val="300000"/>
              </a:schemeClr>
            </a:gs>
            <a:gs pos="35000">
              <a:schemeClr val="accent2">
                <a:tint val="37000"/>
                <a:satMod val="300000"/>
              </a:schemeClr>
            </a:gs>
            <a:gs pos="100000">
              <a:schemeClr val="accent2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2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Accessories</c:v>
              </c:pt>
              <c:pt idx="1">
                <c:v>Art</c:v>
              </c:pt>
              <c:pt idx="2">
                <c:v>Binders</c:v>
              </c:pt>
              <c:pt idx="3">
                <c:v>Chairs</c:v>
              </c:pt>
              <c:pt idx="4">
                <c:v>Laptops</c:v>
              </c:pt>
              <c:pt idx="5">
                <c:v>Paper</c:v>
              </c:pt>
              <c:pt idx="6">
                <c:v>Phones</c:v>
              </c:pt>
              <c:pt idx="7">
                <c:v>Storage</c:v>
              </c:pt>
              <c:pt idx="8">
                <c:v>Tables</c:v>
              </c:pt>
            </c:strLit>
          </c:cat>
          <c:val>
            <c:numLit>
              <c:formatCode>General</c:formatCode>
              <c:ptCount val="9"/>
              <c:pt idx="0">
                <c:v>7061.68</c:v>
              </c:pt>
              <c:pt idx="1">
                <c:v>7617.78</c:v>
              </c:pt>
              <c:pt idx="2">
                <c:v>4843.8500000000004</c:v>
              </c:pt>
              <c:pt idx="3">
                <c:v>5360.73</c:v>
              </c:pt>
              <c:pt idx="4">
                <c:v>7039.48</c:v>
              </c:pt>
              <c:pt idx="5">
                <c:v>5354.71</c:v>
              </c:pt>
              <c:pt idx="6">
                <c:v>8000.04</c:v>
              </c:pt>
              <c:pt idx="7">
                <c:v>5940.54</c:v>
              </c:pt>
              <c:pt idx="8">
                <c:v>5282.95</c:v>
              </c:pt>
            </c:numLit>
          </c:val>
          <c:extLst>
            <c:ext xmlns:c16="http://schemas.microsoft.com/office/drawing/2014/chart" uri="{C3380CC4-5D6E-409C-BE32-E72D297353CC}">
              <c16:uniqueId val="{00000000-33E5-47BB-BA61-F58B0516D3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5002031"/>
        <c:axId val="394979471"/>
      </c:barChart>
      <c:catAx>
        <c:axId val="395002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794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94979471"/>
        <c:scaling>
          <c:orientation val="minMax"/>
        </c:scaling>
        <c:delete val="0"/>
        <c:axPos val="l"/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accent2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02031"/>
        <c:crosses val="autoZero"/>
        <c:crossBetween val="between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extLst>
    <c:ext xmlns:c15="http://schemas.microsoft.com/office/drawing/2012/chart" uri="{723BEF56-08C2-4564-9609-F4CBC75E7E54}">
      <c15:pivotSource>
        <c15:name>[RPIS_Dataset1.xlsx]PivotChartTable2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9A3D3-D235-6B32-ADEB-34EFD44FF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2</xdr:row>
      <xdr:rowOff>0</xdr:rowOff>
    </xdr:from>
    <xdr:to>
      <xdr:col>17</xdr:col>
      <xdr:colOff>180976</xdr:colOff>
      <xdr:row>16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CD6DF-1165-822B-9EA5-F7995A147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15</xdr:col>
      <xdr:colOff>276225</xdr:colOff>
      <xdr:row>31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D94D0-0AE7-0435-056B-F1193E613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482600</xdr:colOff>
      <xdr:row>31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C63BC2-DDF8-F4A6-F4B3-822298C1D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llo" refreshedDate="45982.313523958335" createdVersion="5" refreshedVersion="8" minRefreshableVersion="3" recordCount="0" supportSubquery="1" supportAdvancedDrill="1" xr:uid="{8A471F19-06F2-4135-B25F-A12FB5C264E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Category].[Category]" caption="Category" numFmtId="0" hierarchy="5" level="1">
      <sharedItems count="3">
        <s v="Furniture"/>
        <s v="Office Supplies"/>
        <s v="Technology"/>
      </sharedItems>
    </cacheField>
    <cacheField name="[Measures].[Sum of Sales]" caption="Sum of Sales" numFmtId="0" hierarchy="29" level="32767"/>
  </cacheFields>
  <cacheHierarchies count="33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OrderDate]" caption="OrderDate" attribute="1" defaultMemberUniqueName="[Table1].[OrderDate].[All]" allUniqueName="[Table1].[OrderDat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Category]" caption="SubCategory" attribute="1" defaultMemberUniqueName="[Table1].[SubCategory].[All]" allUniqueName="[Table1].[SubCategory].[All]" dimensionUniqueName="[Table1]" displayFolder="" count="0" memberValueDatatype="130" unbalanced="0"/>
    <cacheHierarchy uniqueName="[Table1].[ProductName]" caption="ProductName" attribute="1" defaultMemberUniqueName="[Table1].[ProductName].[All]" allUniqueName="[Table1].[Product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OrderDate]" caption="OrderDate" attribute="1" time="1" defaultMemberUniqueName="[Table1_1].[OrderDate].[All]" allUniqueName="[Table1_1].[Order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Region]" caption="Region" attribute="1" defaultMemberUniqueName="[Table1_1].[Region].[All]" allUniqueName="[Table1_1].[Region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0" memberValueDatatype="130" unbalanced="0"/>
    <cacheHierarchy uniqueName="[Table1_1].[SubCategory]" caption="SubCategory" attribute="1" defaultMemberUniqueName="[Table1_1].[SubCategory].[All]" allUniqueName="[Table1_1].[SubCategory].[All]" dimensionUniqueName="[Table1_1]" displayFolder="" count="0" memberValueDatatype="130" unbalanced="0"/>
    <cacheHierarchy uniqueName="[Table1_1].[ProductName]" caption="ProductName" attribute="1" defaultMemberUniqueName="[Table1_1].[ProductName].[All]" allUniqueName="[Table1_1].[ProductName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20" unbalanced="0"/>
    <cacheHierarchy uniqueName="[Table1_1].[Sales]" caption="Sales" attribute="1" defaultMemberUniqueName="[Table1_1].[Sales].[All]" allUniqueName="[Table1_1].[Sales].[All]" dimensionUniqueName="[Table1_1]" displayFolder="" count="0" memberValueDatatype="20" unbalanced="0"/>
    <cacheHierarchy uniqueName="[Table1_1].[Profit]" caption="Profit" attribute="1" defaultMemberUniqueName="[Table1_1].[Profit].[All]" allUniqueName="[Table1_1].[Profit].[All]" dimensionUniqueName="[Table1_1]" displayFolder="" count="0" memberValueDatatype="5" unbalanced="0"/>
    <cacheHierarchy uniqueName="[Table1_1].[Profit Margin]" caption="Profit Margin" attribute="1" defaultMemberUniqueName="[Table1_1].[Profit Margin].[All]" allUniqueName="[Table1_1].[Profit Margin].[All]" dimensionUniqueName="[Table1_1]" displayFolder="" count="0" memberValueDatatype="5" unbalanced="0"/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164028198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llo" refreshedDate="45982.355566435188" createdVersion="5" refreshedVersion="8" minRefreshableVersion="3" recordCount="0" supportSubquery="1" supportAdvancedDrill="1" xr:uid="{2A561DB1-E5BA-41CC-8304-148BFB23D2F7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Region].[Region]" caption="Region" numFmtId="0" hierarchy="4" level="1">
      <sharedItems count="4">
        <s v="East"/>
        <s v="North"/>
        <s v="South"/>
        <s v="West"/>
      </sharedItems>
    </cacheField>
    <cacheField name="[Measures].[Sum of Sales]" caption="Sum of Sales" numFmtId="0" hierarchy="29" level="32767"/>
  </cacheFields>
  <cacheHierarchies count="33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OrderDate]" caption="OrderDate" attribute="1" defaultMemberUniqueName="[Table1].[OrderDate].[All]" allUniqueName="[Table1].[OrderDat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Category]" caption="SubCategory" attribute="1" defaultMemberUniqueName="[Table1].[SubCategory].[All]" allUniqueName="[Table1].[SubCategory].[All]" dimensionUniqueName="[Table1]" displayFolder="" count="0" memberValueDatatype="130" unbalanced="0"/>
    <cacheHierarchy uniqueName="[Table1].[ProductName]" caption="ProductName" attribute="1" defaultMemberUniqueName="[Table1].[ProductName].[All]" allUniqueName="[Table1].[Product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OrderDate]" caption="OrderDate" attribute="1" time="1" defaultMemberUniqueName="[Table1_1].[OrderDate].[All]" allUniqueName="[Table1_1].[Order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Region]" caption="Region" attribute="1" defaultMemberUniqueName="[Table1_1].[Region].[All]" allUniqueName="[Table1_1].[Region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0" memberValueDatatype="130" unbalanced="0"/>
    <cacheHierarchy uniqueName="[Table1_1].[SubCategory]" caption="SubCategory" attribute="1" defaultMemberUniqueName="[Table1_1].[SubCategory].[All]" allUniqueName="[Table1_1].[SubCategory].[All]" dimensionUniqueName="[Table1_1]" displayFolder="" count="0" memberValueDatatype="130" unbalanced="0"/>
    <cacheHierarchy uniqueName="[Table1_1].[ProductName]" caption="ProductName" attribute="1" defaultMemberUniqueName="[Table1_1].[ProductName].[All]" allUniqueName="[Table1_1].[ProductName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20" unbalanced="0"/>
    <cacheHierarchy uniqueName="[Table1_1].[Sales]" caption="Sales" attribute="1" defaultMemberUniqueName="[Table1_1].[Sales].[All]" allUniqueName="[Table1_1].[Sales].[All]" dimensionUniqueName="[Table1_1]" displayFolder="" count="0" memberValueDatatype="20" unbalanced="0"/>
    <cacheHierarchy uniqueName="[Table1_1].[Profit]" caption="Profit" attribute="1" defaultMemberUniqueName="[Table1_1].[Profit].[All]" allUniqueName="[Table1_1].[Profit].[All]" dimensionUniqueName="[Table1_1]" displayFolder="" count="0" memberValueDatatype="5" unbalanced="0"/>
    <cacheHierarchy uniqueName="[Table1_1].[Profit Margin]" caption="Profit Margin" attribute="1" defaultMemberUniqueName="[Table1_1].[Profit Margin].[All]" allUniqueName="[Table1_1].[Profit Margin].[All]" dimensionUniqueName="[Table1_1]" displayFolder="" count="0" memberValueDatatype="5" unbalanced="0"/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127411012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llo" refreshedDate="45982.368251273147" createdVersion="5" refreshedVersion="8" minRefreshableVersion="3" recordCount="0" supportSubquery="1" supportAdvancedDrill="1" xr:uid="{48F1DA5E-9147-4974-8595-5D14A66C258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Profit]" caption="Sum of Profit" numFmtId="0" hierarchy="30" level="32767"/>
    <cacheField name="[Table1].[SubCategory].[SubCategory]" caption="SubCategory" numFmtId="0" hierarchy="6" level="1">
      <sharedItems count="9">
        <s v="Accessories"/>
        <s v="Art"/>
        <s v="Binders"/>
        <s v="Chairs"/>
        <s v="Laptops"/>
        <s v="Paper"/>
        <s v="Phones"/>
        <s v="Storage"/>
        <s v="Tables"/>
      </sharedItems>
    </cacheField>
  </cacheFields>
  <cacheHierarchies count="33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OrderDate]" caption="OrderDate" attribute="1" defaultMemberUniqueName="[Table1].[OrderDate].[All]" allUniqueName="[Table1].[OrderDat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Category]" caption="SubCategory" attribute="1" defaultMemberUniqueName="[Table1].[SubCategory].[All]" allUniqueName="[Table1].[Sub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Name]" caption="ProductName" attribute="1" defaultMemberUniqueName="[Table1].[ProductName].[All]" allUniqueName="[Table1].[Product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OrderDate]" caption="OrderDate" attribute="1" time="1" defaultMemberUniqueName="[Table1_1].[OrderDate].[All]" allUniqueName="[Table1_1].[Order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Region]" caption="Region" attribute="1" defaultMemberUniqueName="[Table1_1].[Region].[All]" allUniqueName="[Table1_1].[Region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0" memberValueDatatype="130" unbalanced="0"/>
    <cacheHierarchy uniqueName="[Table1_1].[SubCategory]" caption="SubCategory" attribute="1" defaultMemberUniqueName="[Table1_1].[SubCategory].[All]" allUniqueName="[Table1_1].[SubCategory].[All]" dimensionUniqueName="[Table1_1]" displayFolder="" count="0" memberValueDatatype="130" unbalanced="0"/>
    <cacheHierarchy uniqueName="[Table1_1].[ProductName]" caption="ProductName" attribute="1" defaultMemberUniqueName="[Table1_1].[ProductName].[All]" allUniqueName="[Table1_1].[ProductName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20" unbalanced="0"/>
    <cacheHierarchy uniqueName="[Table1_1].[Sales]" caption="Sales" attribute="1" defaultMemberUniqueName="[Table1_1].[Sales].[All]" allUniqueName="[Table1_1].[Sales].[All]" dimensionUniqueName="[Table1_1]" displayFolder="" count="0" memberValueDatatype="20" unbalanced="0"/>
    <cacheHierarchy uniqueName="[Table1_1].[Profit]" caption="Profit" attribute="1" defaultMemberUniqueName="[Table1_1].[Profit].[All]" allUniqueName="[Table1_1].[Profit].[All]" dimensionUniqueName="[Table1_1]" displayFolder="" count="0" memberValueDatatype="5" unbalanced="0"/>
    <cacheHierarchy uniqueName="[Table1_1].[Profit Margin]" caption="Profit Margin" attribute="1" defaultMemberUniqueName="[Table1_1].[Profit Margin].[All]" allUniqueName="[Table1_1].[Profit Margin].[All]" dimensionUniqueName="[Table1_1]" displayFolder="" count="0" memberValueDatatype="5" unbalanced="0"/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146153373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llo" refreshedDate="45982.374603935183" createdVersion="5" refreshedVersion="8" minRefreshableVersion="3" recordCount="0" supportSubquery="1" supportAdvancedDrill="1" xr:uid="{E63CF0DE-FA8F-4FB3-940C-5D13DAD5668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Sales]" caption="Sum of Sales" numFmtId="0" hierarchy="29" level="32767"/>
    <cacheField name="[Table1].[Month].[Month]" caption="Month" numFmtId="0" hierarchy="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33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OrderDate]" caption="OrderDate" attribute="1" defaultMemberUniqueName="[Table1].[OrderDate].[All]" allUniqueName="[Table1].[OrderDat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SubCategory]" caption="SubCategory" attribute="1" defaultMemberUniqueName="[Table1].[SubCategory].[All]" allUniqueName="[Table1].[SubCategory].[All]" dimensionUniqueName="[Table1]" displayFolder="" count="2" memberValueDatatype="130" unbalanced="0"/>
    <cacheHierarchy uniqueName="[Table1].[ProductName]" caption="ProductName" attribute="1" defaultMemberUniqueName="[Table1].[ProductName].[All]" allUniqueName="[Table1].[Product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OrderDate]" caption="OrderDate" attribute="1" time="1" defaultMemberUniqueName="[Table1_1].[OrderDate].[All]" allUniqueName="[Table1_1].[OrderDate].[All]" dimensionUniqueName="[Table1_1]" displayFolder="" count="0" memberValueDatatype="7" unbalanced="0"/>
    <cacheHierarchy uniqueName="[Table1_1].[Month]" caption="Month" attribute="1" defaultMemberUniqueName="[Table1_1].[Month].[All]" allUniqueName="[Table1_1].[Month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Table1_1].[Region]" caption="Region" attribute="1" defaultMemberUniqueName="[Table1_1].[Region].[All]" allUniqueName="[Table1_1].[Region].[All]" dimensionUniqueName="[Table1_1]" displayFolder="" count="0" memberValueDatatype="130" unbalanced="0"/>
    <cacheHierarchy uniqueName="[Table1_1].[Category]" caption="Category" attribute="1" defaultMemberUniqueName="[Table1_1].[Category].[All]" allUniqueName="[Table1_1].[Category].[All]" dimensionUniqueName="[Table1_1]" displayFolder="" count="0" memberValueDatatype="130" unbalanced="0"/>
    <cacheHierarchy uniqueName="[Table1_1].[SubCategory]" caption="SubCategory" attribute="1" defaultMemberUniqueName="[Table1_1].[SubCategory].[All]" allUniqueName="[Table1_1].[SubCategory].[All]" dimensionUniqueName="[Table1_1]" displayFolder="" count="0" memberValueDatatype="130" unbalanced="0"/>
    <cacheHierarchy uniqueName="[Table1_1].[ProductName]" caption="ProductName" attribute="1" defaultMemberUniqueName="[Table1_1].[ProductName].[All]" allUniqueName="[Table1_1].[ProductName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20" unbalanced="0"/>
    <cacheHierarchy uniqueName="[Table1_1].[Sales]" caption="Sales" attribute="1" defaultMemberUniqueName="[Table1_1].[Sales].[All]" allUniqueName="[Table1_1].[Sales].[All]" dimensionUniqueName="[Table1_1]" displayFolder="" count="0" memberValueDatatype="20" unbalanced="0"/>
    <cacheHierarchy uniqueName="[Table1_1].[Profit]" caption="Profit" attribute="1" defaultMemberUniqueName="[Table1_1].[Profit].[All]" allUniqueName="[Table1_1].[Profit].[All]" dimensionUniqueName="[Table1_1]" displayFolder="" count="0" memberValueDatatype="5" unbalanced="0"/>
    <cacheHierarchy uniqueName="[Table1_1].[Profit Margin]" caption="Profit Margin" attribute="1" defaultMemberUniqueName="[Table1_1].[Profit Margin].[All]" allUniqueName="[Table1_1].[Profit Margin].[All]" dimensionUniqueName="[Table1_1]" displayFolder="" count="0" memberValueDatatype="5" unbalanced="0"/>
    <cacheHierarchy uniqueName="[Measures].[__XL_Count Table1_1]" caption="__XL_Count Table1_1" measure="1" displayFolder="" measureGroup="Table1_1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1" uniqueName="[Table1_1]" caption="Table1_1"/>
  </dimensions>
  <measureGroups count="2">
    <measureGroup name="Table1" caption="Table1"/>
    <measureGroup name="Table1_1" caption="Table1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197303383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924FE-2460-4813-B0BA-97FEED5C21AA}" name="PivotChartTable4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3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274110124">
        <x15:pivotRow count="1">
          <x15:c>
            <x15:v>92148</x15:v>
          </x15:c>
        </x15:pivotRow>
        <x15:pivotRow count="1">
          <x15:c>
            <x15:v>55945</x15:v>
          </x15:c>
        </x15:pivotRow>
        <x15:pivotRow count="1">
          <x15:c>
            <x15:v>69532</x15:v>
          </x15:c>
        </x15:pivotRow>
        <x15:pivotRow count="1">
          <x15:c>
            <x15:v>59346</x15:v>
          </x15:c>
        </x15:pivotRow>
        <x15:pivotRow count="1">
          <x15:c>
            <x15:v>276971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4193D-D982-4341-B4B8-503E9C18EC8B}" name="PivotChartTable3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31">
  <location ref="A1:B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0" baseField="0" baseItem="0"/>
  </dataFields>
  <chartFormats count="2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year"/>
    <pivotHierarchy dragToData="1" caption="Count of year"/>
  </pivotHierarchie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1973033830">
        <x15:pivotRow count="1">
          <x15:c>
            <x15:v>21697</x15:v>
          </x15:c>
        </x15:pivotRow>
        <x15:pivotRow count="1">
          <x15:c>
            <x15:v>28840</x15:v>
          </x15:c>
        </x15:pivotRow>
        <x15:pivotRow count="1">
          <x15:c>
            <x15:v>22460</x15:v>
          </x15:c>
        </x15:pivotRow>
        <x15:pivotRow count="1">
          <x15:c>
            <x15:v>32375</x15:v>
          </x15:c>
        </x15:pivotRow>
        <x15:pivotRow count="1">
          <x15:c>
            <x15:v>14609</x15:v>
          </x15:c>
        </x15:pivotRow>
        <x15:pivotRow count="1">
          <x15:c>
            <x15:v>20680</x15:v>
          </x15:c>
        </x15:pivotRow>
        <x15:pivotRow count="1">
          <x15:c>
            <x15:v>23040</x15:v>
          </x15:c>
        </x15:pivotRow>
        <x15:pivotRow count="1">
          <x15:c>
            <x15:v>21796</x15:v>
          </x15:c>
        </x15:pivotRow>
        <x15:pivotRow count="1">
          <x15:c>
            <x15:v>16845</x15:v>
          </x15:c>
        </x15:pivotRow>
        <x15:pivotRow count="1">
          <x15:c>
            <x15:v>32944</x15:v>
          </x15:c>
        </x15:pivotRow>
        <x15:pivotRow count="1">
          <x15:c>
            <x15:v>18864</x15:v>
          </x15:c>
        </x15:pivotRow>
        <x15:pivotRow count="1">
          <x15:c>
            <x15:v>22821</x15:v>
          </x15:c>
        </x15:pivotRow>
        <x15:pivotRow count="1">
          <x15:c>
            <x15:v>276971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FAB06-EFA0-48C3-B7CB-E008DF03ECC4}" name="PivotChartTable2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3">
  <location ref="A1:B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0" columnCount="1" cacheId="1461533733">
        <x15:pivotRow count="1">
          <x15:c>
            <x15:v>7061.68</x15:v>
          </x15:c>
        </x15:pivotRow>
        <x15:pivotRow count="1">
          <x15:c>
            <x15:v>7617.78</x15:v>
          </x15:c>
        </x15:pivotRow>
        <x15:pivotRow count="1">
          <x15:c>
            <x15:v>4843.8500000000004</x15:v>
          </x15:c>
        </x15:pivotRow>
        <x15:pivotRow count="1">
          <x15:c>
            <x15:v>5360.73</x15:v>
          </x15:c>
        </x15:pivotRow>
        <x15:pivotRow count="1">
          <x15:c>
            <x15:v>7039.48</x15:v>
          </x15:c>
        </x15:pivotRow>
        <x15:pivotRow count="1">
          <x15:c>
            <x15:v>5354.71</x15:v>
          </x15:c>
        </x15:pivotRow>
        <x15:pivotRow count="1">
          <x15:c>
            <x15:v>8000.04</x15:v>
          </x15:c>
        </x15:pivotRow>
        <x15:pivotRow count="1">
          <x15:c>
            <x15:v>5940.54</x15:v>
          </x15:c>
        </x15:pivotRow>
        <x15:pivotRow count="1">
          <x15:c>
            <x15:v>5282.95</x15:v>
          </x15:c>
        </x15:pivotRow>
        <x15:pivotRow count="1">
          <x15:c>
            <x15:v>56501.760000000002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0A885-5B34-4DFD-9459-E35DA58BF5AE}" name="PivotChartTable1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4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640281982">
        <x15:pivotRow count="1">
          <x15:c>
            <x15:v>82682</x15:v>
          </x15:c>
        </x15:pivotRow>
        <x15:pivotRow count="1">
          <x15:c>
            <x15:v>85967</x15:v>
          </x15:c>
        </x15:pivotRow>
        <x15:pivotRow count="1">
          <x15:c>
            <x15:v>108322</x15:v>
          </x15:c>
        </x15:pivotRow>
        <x15:pivotRow count="1">
          <x15:c>
            <x15:v>276971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4FABA0-B95A-4432-84D0-28271955D07E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OrderDate" tableColumnId="2"/>
      <queryTableField id="3" name="Month" tableColumnId="3"/>
      <queryTableField id="4" name="year" tableColumnId="4"/>
      <queryTableField id="5" name="Region" tableColumnId="5"/>
      <queryTableField id="6" name="Category" tableColumnId="6"/>
      <queryTableField id="7" name="SubCategory" tableColumnId="7"/>
      <queryTableField id="8" name="ProductName" tableColumnId="8"/>
      <queryTableField id="9" name="Quantity" tableColumnId="9"/>
      <queryTableField id="10" name="UnitPrice" tableColumnId="10"/>
      <queryTableField id="11" name="Sales" tableColumnId="11"/>
      <queryTableField id="12" name="Profit" tableColumnId="12"/>
      <queryTableField id="13" name="Profit Margi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03318-BAF3-4F3F-BD3D-0EB4D47654F3}" name="Table1_1" displayName="Table1_1" ref="A1:M201" tableType="queryTable" totalsRowShown="0">
  <autoFilter ref="A1:M201" xr:uid="{90303318-BAF3-4F3F-BD3D-0EB4D47654F3}"/>
  <tableColumns count="13">
    <tableColumn id="1" xr3:uid="{7C1ABF8D-8A9C-403A-BDD4-438693889FFC}" uniqueName="1" name="OrderID" queryTableFieldId="1" dataDxfId="6"/>
    <tableColumn id="2" xr3:uid="{0928FE36-F5D9-4A6F-A79E-E3BC159AABFC}" uniqueName="2" name="OrderDate" queryTableFieldId="2" dataDxfId="5"/>
    <tableColumn id="3" xr3:uid="{6865D7F4-F52B-41C7-84D2-68B6E3E990B6}" uniqueName="3" name="Month" queryTableFieldId="3" dataDxfId="4"/>
    <tableColumn id="4" xr3:uid="{70AB1366-8723-4ECB-B255-9FAB7F997382}" uniqueName="4" name="year" queryTableFieldId="4"/>
    <tableColumn id="5" xr3:uid="{EEFB3E3E-18FE-4542-AC9E-59BBA7C2F4D2}" uniqueName="5" name="Region" queryTableFieldId="5" dataDxfId="3"/>
    <tableColumn id="6" xr3:uid="{B1DC5B4A-8D60-4C93-A418-1CA6B4A41ADF}" uniqueName="6" name="Category" queryTableFieldId="6" dataDxfId="2"/>
    <tableColumn id="7" xr3:uid="{96DB2C03-D64A-4E90-AEA3-A5B0C424B5F0}" uniqueName="7" name="SubCategory" queryTableFieldId="7" dataDxfId="1"/>
    <tableColumn id="8" xr3:uid="{9D8FCBC3-25C5-4FEC-B2BF-96CAADFAAF4A}" uniqueName="8" name="ProductName" queryTableFieldId="8" dataDxfId="0"/>
    <tableColumn id="9" xr3:uid="{8876FDE0-B9A3-4187-8FBE-37F9291B8B15}" uniqueName="9" name="Quantity" queryTableFieldId="9"/>
    <tableColumn id="10" xr3:uid="{010D76EA-65F4-4EDD-A498-8D87EFEA99C3}" uniqueName="10" name="UnitPrice" queryTableFieldId="10"/>
    <tableColumn id="11" xr3:uid="{C211AA84-E4E6-49F5-9863-E9266E1128C8}" uniqueName="11" name="Sales" queryTableFieldId="11"/>
    <tableColumn id="12" xr3:uid="{1795D5FA-A822-4596-BC2E-7B8A9C04D54C}" uniqueName="12" name="Profit" queryTableFieldId="12"/>
    <tableColumn id="13" xr3:uid="{2A55AF6A-AFA6-435F-90FD-9F1175BDCEA1}" uniqueName="13" name="Profit Margin" queryTableFieldId="1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D0F96-ACC3-4A40-8877-8DCE654602A3}" name="Table1" displayName="Table1" ref="A1:M201" totalsRowShown="0" headerRowDxfId="7" dataDxfId="8" tableBorderDxfId="22">
  <autoFilter ref="A1:M201" xr:uid="{AB0D0F96-ACC3-4A40-8877-8DCE654602A3}"/>
  <tableColumns count="13">
    <tableColumn id="1" xr3:uid="{D556676F-B595-4076-B229-D6D761FE10D6}" name="OrderID" dataDxfId="21"/>
    <tableColumn id="2" xr3:uid="{D86D8E49-B7C4-4CE1-992F-454F1931A751}" name="OrderDate" dataDxfId="20"/>
    <tableColumn id="3" xr3:uid="{872DA6F0-59BB-4D65-8228-A4DB2BB21D9E}" name="year" dataDxfId="19">
      <calculatedColumnFormula>YEAR(B2)</calculatedColumnFormula>
    </tableColumn>
    <tableColumn id="4" xr3:uid="{137FA701-1030-4378-BC97-801CD7315DA9}" name="Month" dataDxfId="18">
      <calculatedColumnFormula>TEXT(B2,"mmm")</calculatedColumnFormula>
    </tableColumn>
    <tableColumn id="5" xr3:uid="{075DF4C8-DDE4-4603-BE98-F7B3AA5310D5}" name="Region" dataDxfId="17"/>
    <tableColumn id="6" xr3:uid="{4216E3EA-A664-429D-A53C-D6C6AE1AB0AA}" name="Category" dataDxfId="16"/>
    <tableColumn id="7" xr3:uid="{7D483B58-D664-4878-A583-F44F8E2DBD04}" name="SubCategory" dataDxfId="15"/>
    <tableColumn id="8" xr3:uid="{4D5355C3-2D47-43A6-8868-BB4E290D7B2C}" name="ProductName" dataDxfId="14"/>
    <tableColumn id="9" xr3:uid="{72312239-98AC-4AB9-9D61-6A0987C09998}" name="Quantity" dataDxfId="13"/>
    <tableColumn id="10" xr3:uid="{78A728AC-76D8-4FF0-B3FA-A619FF2C90DA}" name="UnitPrice" dataDxfId="12"/>
    <tableColumn id="11" xr3:uid="{727123CD-1C64-4835-8201-6F7D2C68D6EA}" name="Sales" dataDxfId="11"/>
    <tableColumn id="12" xr3:uid="{DC59527C-1AB8-4897-A07B-9904A4ED6691}" name="Profit" dataDxfId="10"/>
    <tableColumn id="13" xr3:uid="{2041CF6E-48AA-48F5-96CE-FB7249C6C7A0}" name="Profit Margin" dataDxfId="9" dataCellStyle="Percent">
      <calculatedColumnFormula>IF(K2=0,0,L2/K2)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6263-83C0-4794-9454-D50FF3D6A3E7}">
  <dimension ref="A1"/>
  <sheetViews>
    <sheetView topLeftCell="A10" workbookViewId="0">
      <selection activeCell="S11" sqref="S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34-648B-4AB9-9BA9-5ABFD8391BA4}">
  <sheetPr codeName="Sheet2"/>
  <dimension ref="A1:M201"/>
  <sheetViews>
    <sheetView workbookViewId="0">
      <selection activeCell="G9" sqref="G9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9.28515625" bestFit="1" customWidth="1"/>
    <col min="4" max="4" width="7.140625" bestFit="1" customWidth="1"/>
    <col min="5" max="5" width="9.42578125" bestFit="1" customWidth="1"/>
    <col min="6" max="6" width="14.5703125" bestFit="1" customWidth="1"/>
    <col min="7" max="7" width="14.42578125" bestFit="1" customWidth="1"/>
    <col min="8" max="8" width="20.140625" bestFit="1" customWidth="1"/>
    <col min="9" max="9" width="11" bestFit="1" customWidth="1"/>
    <col min="10" max="10" width="11.5703125" bestFit="1" customWidth="1"/>
    <col min="11" max="11" width="7.85546875" bestFit="1" customWidth="1"/>
    <col min="12" max="12" width="8.28515625" bestFit="1" customWidth="1"/>
    <col min="13" max="13" width="15" bestFit="1" customWidth="1"/>
  </cols>
  <sheetData>
    <row r="1" spans="1:13" x14ac:dyDescent="0.25">
      <c r="A1" t="s">
        <v>0</v>
      </c>
      <c r="B1" t="s">
        <v>1</v>
      </c>
      <c r="C1" t="s">
        <v>376</v>
      </c>
      <c r="D1" t="s">
        <v>551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375</v>
      </c>
    </row>
    <row r="2" spans="1:13" x14ac:dyDescent="0.25">
      <c r="A2" s="16" t="s">
        <v>10</v>
      </c>
      <c r="B2" s="17">
        <v>44591</v>
      </c>
      <c r="C2" s="16" t="s">
        <v>552</v>
      </c>
      <c r="D2">
        <v>2022</v>
      </c>
      <c r="E2" s="16" t="s">
        <v>210</v>
      </c>
      <c r="F2" s="16" t="s">
        <v>214</v>
      </c>
      <c r="G2" s="16" t="s">
        <v>217</v>
      </c>
      <c r="H2" s="16" t="s">
        <v>226</v>
      </c>
      <c r="I2">
        <v>7</v>
      </c>
      <c r="J2">
        <v>217</v>
      </c>
      <c r="K2">
        <v>1519</v>
      </c>
      <c r="L2">
        <v>412.06</v>
      </c>
      <c r="M2">
        <v>0.27127057274522698</v>
      </c>
    </row>
    <row r="3" spans="1:13" x14ac:dyDescent="0.25">
      <c r="A3" s="16" t="s">
        <v>11</v>
      </c>
      <c r="B3" s="17">
        <v>44699</v>
      </c>
      <c r="C3" s="16" t="s">
        <v>553</v>
      </c>
      <c r="D3">
        <v>2022</v>
      </c>
      <c r="E3" s="16" t="s">
        <v>210</v>
      </c>
      <c r="F3" s="16" t="s">
        <v>215</v>
      </c>
      <c r="G3" s="16" t="s">
        <v>218</v>
      </c>
      <c r="H3" s="16" t="s">
        <v>227</v>
      </c>
      <c r="I3">
        <v>4</v>
      </c>
      <c r="J3">
        <v>348</v>
      </c>
      <c r="K3">
        <v>1392</v>
      </c>
      <c r="L3">
        <v>141.07</v>
      </c>
      <c r="M3">
        <v>0.101343390804598</v>
      </c>
    </row>
    <row r="4" spans="1:13" x14ac:dyDescent="0.25">
      <c r="A4" s="16" t="s">
        <v>12</v>
      </c>
      <c r="B4" s="17">
        <v>44578</v>
      </c>
      <c r="C4" s="16" t="s">
        <v>552</v>
      </c>
      <c r="D4">
        <v>2022</v>
      </c>
      <c r="E4" s="16" t="s">
        <v>211</v>
      </c>
      <c r="F4" s="16" t="s">
        <v>215</v>
      </c>
      <c r="G4" s="16" t="s">
        <v>218</v>
      </c>
      <c r="H4" s="16" t="s">
        <v>228</v>
      </c>
      <c r="I4">
        <v>3</v>
      </c>
      <c r="J4">
        <v>364</v>
      </c>
      <c r="K4">
        <v>1092</v>
      </c>
      <c r="L4">
        <v>264.07</v>
      </c>
      <c r="M4">
        <v>0.24182234432234401</v>
      </c>
    </row>
    <row r="5" spans="1:13" x14ac:dyDescent="0.25">
      <c r="A5" s="16" t="s">
        <v>13</v>
      </c>
      <c r="B5" s="17">
        <v>45256</v>
      </c>
      <c r="C5" s="16" t="s">
        <v>554</v>
      </c>
      <c r="D5">
        <v>2023</v>
      </c>
      <c r="E5" s="16" t="s">
        <v>210</v>
      </c>
      <c r="F5" s="16" t="s">
        <v>216</v>
      </c>
      <c r="G5" s="16" t="s">
        <v>219</v>
      </c>
      <c r="H5" s="16" t="s">
        <v>229</v>
      </c>
      <c r="I5">
        <v>3</v>
      </c>
      <c r="J5">
        <v>400</v>
      </c>
      <c r="K5">
        <v>1200</v>
      </c>
      <c r="L5">
        <v>178.28</v>
      </c>
      <c r="M5">
        <v>0.14856666666666701</v>
      </c>
    </row>
    <row r="6" spans="1:13" x14ac:dyDescent="0.25">
      <c r="A6" s="16" t="s">
        <v>14</v>
      </c>
      <c r="B6" s="17">
        <v>45148</v>
      </c>
      <c r="C6" s="16" t="s">
        <v>555</v>
      </c>
      <c r="D6">
        <v>2023</v>
      </c>
      <c r="E6" s="16" t="s">
        <v>212</v>
      </c>
      <c r="F6" s="16" t="s">
        <v>214</v>
      </c>
      <c r="G6" s="16" t="s">
        <v>220</v>
      </c>
      <c r="H6" s="16" t="s">
        <v>230</v>
      </c>
      <c r="I6">
        <v>4</v>
      </c>
      <c r="J6">
        <v>474</v>
      </c>
      <c r="K6">
        <v>1896</v>
      </c>
      <c r="L6">
        <v>204.02</v>
      </c>
      <c r="M6">
        <v>0.107605485232068</v>
      </c>
    </row>
    <row r="7" spans="1:13" x14ac:dyDescent="0.25">
      <c r="A7" s="16" t="s">
        <v>15</v>
      </c>
      <c r="B7" s="17">
        <v>44595</v>
      </c>
      <c r="C7" s="16" t="s">
        <v>556</v>
      </c>
      <c r="D7">
        <v>2022</v>
      </c>
      <c r="E7" s="16" t="s">
        <v>212</v>
      </c>
      <c r="F7" s="16" t="s">
        <v>216</v>
      </c>
      <c r="G7" s="16" t="s">
        <v>221</v>
      </c>
      <c r="H7" s="16" t="s">
        <v>231</v>
      </c>
      <c r="I7">
        <v>6</v>
      </c>
      <c r="J7">
        <v>190</v>
      </c>
      <c r="K7">
        <v>1140</v>
      </c>
      <c r="L7">
        <v>335.31</v>
      </c>
      <c r="M7">
        <v>0.29413157894736802</v>
      </c>
    </row>
    <row r="8" spans="1:13" x14ac:dyDescent="0.25">
      <c r="A8" s="16" t="s">
        <v>16</v>
      </c>
      <c r="B8" s="17">
        <v>44984</v>
      </c>
      <c r="C8" s="16" t="s">
        <v>556</v>
      </c>
      <c r="D8">
        <v>2023</v>
      </c>
      <c r="E8" s="16" t="s">
        <v>211</v>
      </c>
      <c r="F8" s="16" t="s">
        <v>216</v>
      </c>
      <c r="G8" s="16" t="s">
        <v>221</v>
      </c>
      <c r="H8" s="16" t="s">
        <v>232</v>
      </c>
      <c r="I8">
        <v>2</v>
      </c>
      <c r="J8">
        <v>324</v>
      </c>
      <c r="K8">
        <v>648</v>
      </c>
      <c r="L8">
        <v>89.01</v>
      </c>
      <c r="M8">
        <v>0.13736111111111099</v>
      </c>
    </row>
    <row r="9" spans="1:13" x14ac:dyDescent="0.25">
      <c r="A9" s="16" t="s">
        <v>17</v>
      </c>
      <c r="B9" s="17">
        <v>44837</v>
      </c>
      <c r="C9" s="16" t="s">
        <v>557</v>
      </c>
      <c r="D9">
        <v>2022</v>
      </c>
      <c r="E9" s="16" t="s">
        <v>211</v>
      </c>
      <c r="F9" s="16" t="s">
        <v>215</v>
      </c>
      <c r="G9" s="16" t="s">
        <v>222</v>
      </c>
      <c r="H9" s="16" t="s">
        <v>233</v>
      </c>
      <c r="I9">
        <v>2</v>
      </c>
      <c r="J9">
        <v>190</v>
      </c>
      <c r="K9">
        <v>380</v>
      </c>
      <c r="L9">
        <v>78.599999999999994</v>
      </c>
      <c r="M9">
        <v>0.20684210526315799</v>
      </c>
    </row>
    <row r="10" spans="1:13" x14ac:dyDescent="0.25">
      <c r="A10" s="16" t="s">
        <v>18</v>
      </c>
      <c r="B10" s="17">
        <v>44906</v>
      </c>
      <c r="C10" s="16" t="s">
        <v>558</v>
      </c>
      <c r="D10">
        <v>2022</v>
      </c>
      <c r="E10" s="16" t="s">
        <v>213</v>
      </c>
      <c r="F10" s="16" t="s">
        <v>214</v>
      </c>
      <c r="G10" s="16" t="s">
        <v>217</v>
      </c>
      <c r="H10" s="16" t="s">
        <v>234</v>
      </c>
      <c r="I10">
        <v>5</v>
      </c>
      <c r="J10">
        <v>83</v>
      </c>
      <c r="K10">
        <v>415</v>
      </c>
      <c r="L10">
        <v>59.78</v>
      </c>
      <c r="M10">
        <v>0.14404819277108399</v>
      </c>
    </row>
    <row r="11" spans="1:13" x14ac:dyDescent="0.25">
      <c r="A11" s="16" t="s">
        <v>19</v>
      </c>
      <c r="B11" s="17">
        <v>44963</v>
      </c>
      <c r="C11" s="16" t="s">
        <v>556</v>
      </c>
      <c r="D11">
        <v>2023</v>
      </c>
      <c r="E11" s="16" t="s">
        <v>212</v>
      </c>
      <c r="F11" s="16" t="s">
        <v>216</v>
      </c>
      <c r="G11" s="16" t="s">
        <v>223</v>
      </c>
      <c r="H11" s="16" t="s">
        <v>235</v>
      </c>
      <c r="I11">
        <v>7</v>
      </c>
      <c r="J11">
        <v>166</v>
      </c>
      <c r="K11">
        <v>1162</v>
      </c>
      <c r="L11">
        <v>232.22</v>
      </c>
      <c r="M11">
        <v>0.199845094664372</v>
      </c>
    </row>
    <row r="12" spans="1:13" x14ac:dyDescent="0.25">
      <c r="A12" s="16" t="s">
        <v>20</v>
      </c>
      <c r="B12" s="17">
        <v>45071</v>
      </c>
      <c r="C12" s="16" t="s">
        <v>553</v>
      </c>
      <c r="D12">
        <v>2023</v>
      </c>
      <c r="E12" s="16" t="s">
        <v>210</v>
      </c>
      <c r="F12" s="16" t="s">
        <v>216</v>
      </c>
      <c r="G12" s="16" t="s">
        <v>221</v>
      </c>
      <c r="H12" s="16" t="s">
        <v>236</v>
      </c>
      <c r="I12">
        <v>4</v>
      </c>
      <c r="J12">
        <v>261</v>
      </c>
      <c r="K12">
        <v>1044</v>
      </c>
      <c r="L12">
        <v>197.82</v>
      </c>
      <c r="M12">
        <v>0.18948275862069</v>
      </c>
    </row>
    <row r="13" spans="1:13" x14ac:dyDescent="0.25">
      <c r="A13" s="16" t="s">
        <v>21</v>
      </c>
      <c r="B13" s="17">
        <v>44767</v>
      </c>
      <c r="C13" s="16" t="s">
        <v>559</v>
      </c>
      <c r="D13">
        <v>2022</v>
      </c>
      <c r="E13" s="16" t="s">
        <v>210</v>
      </c>
      <c r="F13" s="16" t="s">
        <v>215</v>
      </c>
      <c r="G13" s="16" t="s">
        <v>222</v>
      </c>
      <c r="H13" s="16" t="s">
        <v>237</v>
      </c>
      <c r="I13">
        <v>3</v>
      </c>
      <c r="J13">
        <v>145</v>
      </c>
      <c r="K13">
        <v>435</v>
      </c>
      <c r="L13">
        <v>78.930000000000007</v>
      </c>
      <c r="M13">
        <v>0.18144827586206899</v>
      </c>
    </row>
    <row r="14" spans="1:13" x14ac:dyDescent="0.25">
      <c r="A14" s="16" t="s">
        <v>22</v>
      </c>
      <c r="B14" s="17">
        <v>45239</v>
      </c>
      <c r="C14" s="16" t="s">
        <v>554</v>
      </c>
      <c r="D14">
        <v>2023</v>
      </c>
      <c r="E14" s="16" t="s">
        <v>213</v>
      </c>
      <c r="F14" s="16" t="s">
        <v>215</v>
      </c>
      <c r="G14" s="16" t="s">
        <v>222</v>
      </c>
      <c r="H14" s="16" t="s">
        <v>238</v>
      </c>
      <c r="I14">
        <v>3</v>
      </c>
      <c r="J14">
        <v>227</v>
      </c>
      <c r="K14">
        <v>681</v>
      </c>
      <c r="L14">
        <v>142.05000000000001</v>
      </c>
      <c r="M14">
        <v>0.208590308370044</v>
      </c>
    </row>
    <row r="15" spans="1:13" x14ac:dyDescent="0.25">
      <c r="A15" s="16" t="s">
        <v>23</v>
      </c>
      <c r="B15" s="17">
        <v>44780</v>
      </c>
      <c r="C15" s="16" t="s">
        <v>555</v>
      </c>
      <c r="D15">
        <v>2022</v>
      </c>
      <c r="E15" s="16" t="s">
        <v>213</v>
      </c>
      <c r="F15" s="16" t="s">
        <v>214</v>
      </c>
      <c r="G15" s="16" t="s">
        <v>220</v>
      </c>
      <c r="H15" s="16" t="s">
        <v>239</v>
      </c>
      <c r="I15">
        <v>2</v>
      </c>
      <c r="J15">
        <v>100</v>
      </c>
      <c r="K15">
        <v>200</v>
      </c>
      <c r="L15">
        <v>56.48</v>
      </c>
      <c r="M15">
        <v>0.28239999999999998</v>
      </c>
    </row>
    <row r="16" spans="1:13" x14ac:dyDescent="0.25">
      <c r="A16" s="16" t="s">
        <v>24</v>
      </c>
      <c r="B16" s="17">
        <v>44783</v>
      </c>
      <c r="C16" s="16" t="s">
        <v>555</v>
      </c>
      <c r="D16">
        <v>2022</v>
      </c>
      <c r="E16" s="16" t="s">
        <v>213</v>
      </c>
      <c r="F16" s="16" t="s">
        <v>216</v>
      </c>
      <c r="G16" s="16" t="s">
        <v>221</v>
      </c>
      <c r="H16" s="16" t="s">
        <v>232</v>
      </c>
      <c r="I16">
        <v>7</v>
      </c>
      <c r="J16">
        <v>189</v>
      </c>
      <c r="K16">
        <v>1323</v>
      </c>
      <c r="L16">
        <v>242.17</v>
      </c>
      <c r="M16">
        <v>0.183046107331822</v>
      </c>
    </row>
    <row r="17" spans="1:13" x14ac:dyDescent="0.25">
      <c r="A17" s="16" t="s">
        <v>25</v>
      </c>
      <c r="B17" s="17">
        <v>44729</v>
      </c>
      <c r="C17" s="16" t="s">
        <v>560</v>
      </c>
      <c r="D17">
        <v>2022</v>
      </c>
      <c r="E17" s="16" t="s">
        <v>212</v>
      </c>
      <c r="F17" s="16" t="s">
        <v>216</v>
      </c>
      <c r="G17" s="16" t="s">
        <v>221</v>
      </c>
      <c r="H17" s="16" t="s">
        <v>240</v>
      </c>
      <c r="I17">
        <v>10</v>
      </c>
      <c r="J17">
        <v>143</v>
      </c>
      <c r="K17">
        <v>1430</v>
      </c>
      <c r="L17">
        <v>316.23</v>
      </c>
      <c r="M17">
        <v>0.22113986013986001</v>
      </c>
    </row>
    <row r="18" spans="1:13" x14ac:dyDescent="0.25">
      <c r="A18" s="16" t="s">
        <v>26</v>
      </c>
      <c r="B18" s="17">
        <v>44928</v>
      </c>
      <c r="C18" s="16" t="s">
        <v>552</v>
      </c>
      <c r="D18">
        <v>2023</v>
      </c>
      <c r="E18" s="16" t="s">
        <v>211</v>
      </c>
      <c r="F18" s="16" t="s">
        <v>214</v>
      </c>
      <c r="G18" s="16" t="s">
        <v>217</v>
      </c>
      <c r="H18" s="16" t="s">
        <v>234</v>
      </c>
      <c r="I18">
        <v>7</v>
      </c>
      <c r="J18">
        <v>242</v>
      </c>
      <c r="K18">
        <v>1694</v>
      </c>
      <c r="L18">
        <v>449.36</v>
      </c>
      <c r="M18">
        <v>0.26526564344746201</v>
      </c>
    </row>
    <row r="19" spans="1:13" x14ac:dyDescent="0.25">
      <c r="A19" s="16" t="s">
        <v>27</v>
      </c>
      <c r="B19" s="17">
        <v>45209</v>
      </c>
      <c r="C19" s="16" t="s">
        <v>557</v>
      </c>
      <c r="D19">
        <v>2023</v>
      </c>
      <c r="E19" s="16" t="s">
        <v>211</v>
      </c>
      <c r="F19" s="16" t="s">
        <v>214</v>
      </c>
      <c r="G19" s="16" t="s">
        <v>217</v>
      </c>
      <c r="H19" s="16" t="s">
        <v>241</v>
      </c>
      <c r="I19">
        <v>1</v>
      </c>
      <c r="J19">
        <v>223</v>
      </c>
      <c r="K19">
        <v>223</v>
      </c>
      <c r="L19">
        <v>48.82</v>
      </c>
      <c r="M19">
        <v>0.21892376681614401</v>
      </c>
    </row>
    <row r="20" spans="1:13" x14ac:dyDescent="0.25">
      <c r="A20" s="16" t="s">
        <v>28</v>
      </c>
      <c r="B20" s="17">
        <v>45026</v>
      </c>
      <c r="C20" s="16" t="s">
        <v>561</v>
      </c>
      <c r="D20">
        <v>2023</v>
      </c>
      <c r="E20" s="16" t="s">
        <v>211</v>
      </c>
      <c r="F20" s="16" t="s">
        <v>214</v>
      </c>
      <c r="G20" s="16" t="s">
        <v>224</v>
      </c>
      <c r="H20" s="16" t="s">
        <v>242</v>
      </c>
      <c r="I20">
        <v>9</v>
      </c>
      <c r="J20">
        <v>241</v>
      </c>
      <c r="K20">
        <v>2169</v>
      </c>
      <c r="L20">
        <v>498.86</v>
      </c>
      <c r="M20">
        <v>0.22999538958045199</v>
      </c>
    </row>
    <row r="21" spans="1:13" x14ac:dyDescent="0.25">
      <c r="A21" s="16" t="s">
        <v>29</v>
      </c>
      <c r="B21" s="17">
        <v>45202</v>
      </c>
      <c r="C21" s="16" t="s">
        <v>557</v>
      </c>
      <c r="D21">
        <v>2023</v>
      </c>
      <c r="E21" s="16" t="s">
        <v>210</v>
      </c>
      <c r="F21" s="16" t="s">
        <v>216</v>
      </c>
      <c r="G21" s="16" t="s">
        <v>219</v>
      </c>
      <c r="H21" s="16" t="s">
        <v>243</v>
      </c>
      <c r="I21">
        <v>5</v>
      </c>
      <c r="J21">
        <v>391</v>
      </c>
      <c r="K21">
        <v>1955</v>
      </c>
      <c r="L21">
        <v>466.77</v>
      </c>
      <c r="M21">
        <v>0.23875703324808201</v>
      </c>
    </row>
    <row r="22" spans="1:13" x14ac:dyDescent="0.25">
      <c r="A22" s="16" t="s">
        <v>30</v>
      </c>
      <c r="B22" s="17">
        <v>45217</v>
      </c>
      <c r="C22" s="16" t="s">
        <v>557</v>
      </c>
      <c r="D22">
        <v>2023</v>
      </c>
      <c r="E22" s="16" t="s">
        <v>210</v>
      </c>
      <c r="F22" s="16" t="s">
        <v>215</v>
      </c>
      <c r="G22" s="16" t="s">
        <v>218</v>
      </c>
      <c r="H22" s="16" t="s">
        <v>244</v>
      </c>
      <c r="I22">
        <v>5</v>
      </c>
      <c r="J22">
        <v>352</v>
      </c>
      <c r="K22">
        <v>1760</v>
      </c>
      <c r="L22">
        <v>478.95</v>
      </c>
      <c r="M22">
        <v>0.27213068181818201</v>
      </c>
    </row>
    <row r="23" spans="1:13" x14ac:dyDescent="0.25">
      <c r="A23" s="16" t="s">
        <v>31</v>
      </c>
      <c r="B23" s="17">
        <v>45177</v>
      </c>
      <c r="C23" s="16" t="s">
        <v>562</v>
      </c>
      <c r="D23">
        <v>2023</v>
      </c>
      <c r="E23" s="16" t="s">
        <v>212</v>
      </c>
      <c r="F23" s="16" t="s">
        <v>216</v>
      </c>
      <c r="G23" s="16" t="s">
        <v>223</v>
      </c>
      <c r="H23" s="16" t="s">
        <v>245</v>
      </c>
      <c r="I23">
        <v>5</v>
      </c>
      <c r="J23">
        <v>485</v>
      </c>
      <c r="K23">
        <v>2425</v>
      </c>
      <c r="L23">
        <v>531.28</v>
      </c>
      <c r="M23">
        <v>0.219084536082474</v>
      </c>
    </row>
    <row r="24" spans="1:13" x14ac:dyDescent="0.25">
      <c r="A24" s="16" t="s">
        <v>32</v>
      </c>
      <c r="B24" s="17">
        <v>44758</v>
      </c>
      <c r="C24" s="16" t="s">
        <v>559</v>
      </c>
      <c r="D24">
        <v>2022</v>
      </c>
      <c r="E24" s="16" t="s">
        <v>211</v>
      </c>
      <c r="F24" s="16" t="s">
        <v>215</v>
      </c>
      <c r="G24" s="16" t="s">
        <v>225</v>
      </c>
      <c r="H24" s="16" t="s">
        <v>246</v>
      </c>
      <c r="I24">
        <v>10</v>
      </c>
      <c r="J24">
        <v>90</v>
      </c>
      <c r="K24">
        <v>900</v>
      </c>
      <c r="L24">
        <v>149.57</v>
      </c>
      <c r="M24">
        <v>0.166188888888889</v>
      </c>
    </row>
    <row r="25" spans="1:13" x14ac:dyDescent="0.25">
      <c r="A25" s="16" t="s">
        <v>33</v>
      </c>
      <c r="B25" s="17">
        <v>45118</v>
      </c>
      <c r="C25" s="16" t="s">
        <v>559</v>
      </c>
      <c r="D25">
        <v>2023</v>
      </c>
      <c r="E25" s="16" t="s">
        <v>212</v>
      </c>
      <c r="F25" s="16" t="s">
        <v>215</v>
      </c>
      <c r="G25" s="16" t="s">
        <v>222</v>
      </c>
      <c r="H25" s="16" t="s">
        <v>247</v>
      </c>
      <c r="I25">
        <v>4</v>
      </c>
      <c r="J25">
        <v>454</v>
      </c>
      <c r="K25">
        <v>1816</v>
      </c>
      <c r="L25">
        <v>196.32</v>
      </c>
      <c r="M25">
        <v>0.108105726872247</v>
      </c>
    </row>
    <row r="26" spans="1:13" x14ac:dyDescent="0.25">
      <c r="A26" s="16" t="s">
        <v>34</v>
      </c>
      <c r="B26" s="17">
        <v>45161</v>
      </c>
      <c r="C26" s="16" t="s">
        <v>555</v>
      </c>
      <c r="D26">
        <v>2023</v>
      </c>
      <c r="E26" s="16" t="s">
        <v>210</v>
      </c>
      <c r="F26" s="16" t="s">
        <v>216</v>
      </c>
      <c r="G26" s="16" t="s">
        <v>221</v>
      </c>
      <c r="H26" s="16" t="s">
        <v>248</v>
      </c>
      <c r="I26">
        <v>6</v>
      </c>
      <c r="J26">
        <v>118</v>
      </c>
      <c r="K26">
        <v>708</v>
      </c>
      <c r="L26">
        <v>135.80000000000001</v>
      </c>
      <c r="M26">
        <v>0.19180790960451999</v>
      </c>
    </row>
    <row r="27" spans="1:13" x14ac:dyDescent="0.25">
      <c r="A27" s="16" t="s">
        <v>35</v>
      </c>
      <c r="B27" s="17">
        <v>45142</v>
      </c>
      <c r="C27" s="16" t="s">
        <v>555</v>
      </c>
      <c r="D27">
        <v>2023</v>
      </c>
      <c r="E27" s="16" t="s">
        <v>210</v>
      </c>
      <c r="F27" s="16" t="s">
        <v>216</v>
      </c>
      <c r="G27" s="16" t="s">
        <v>219</v>
      </c>
      <c r="H27" s="16" t="s">
        <v>249</v>
      </c>
      <c r="I27">
        <v>7</v>
      </c>
      <c r="J27">
        <v>289</v>
      </c>
      <c r="K27">
        <v>2023</v>
      </c>
      <c r="L27">
        <v>597.6</v>
      </c>
      <c r="M27">
        <v>0.29540286702916502</v>
      </c>
    </row>
    <row r="28" spans="1:13" x14ac:dyDescent="0.25">
      <c r="A28" s="16" t="s">
        <v>36</v>
      </c>
      <c r="B28" s="17">
        <v>44800</v>
      </c>
      <c r="C28" s="16" t="s">
        <v>555</v>
      </c>
      <c r="D28">
        <v>2022</v>
      </c>
      <c r="E28" s="16" t="s">
        <v>210</v>
      </c>
      <c r="F28" s="16" t="s">
        <v>214</v>
      </c>
      <c r="G28" s="16" t="s">
        <v>220</v>
      </c>
      <c r="H28" s="16" t="s">
        <v>250</v>
      </c>
      <c r="I28">
        <v>9</v>
      </c>
      <c r="J28">
        <v>346</v>
      </c>
      <c r="K28">
        <v>3114</v>
      </c>
      <c r="L28">
        <v>578.41999999999996</v>
      </c>
      <c r="M28">
        <v>0.18574823378291599</v>
      </c>
    </row>
    <row r="29" spans="1:13" x14ac:dyDescent="0.25">
      <c r="A29" s="16" t="s">
        <v>37</v>
      </c>
      <c r="B29" s="17">
        <v>45032</v>
      </c>
      <c r="C29" s="16" t="s">
        <v>561</v>
      </c>
      <c r="D29">
        <v>2023</v>
      </c>
      <c r="E29" s="16" t="s">
        <v>211</v>
      </c>
      <c r="F29" s="16" t="s">
        <v>216</v>
      </c>
      <c r="G29" s="16" t="s">
        <v>221</v>
      </c>
      <c r="H29" s="16" t="s">
        <v>251</v>
      </c>
      <c r="I29">
        <v>2</v>
      </c>
      <c r="J29">
        <v>177</v>
      </c>
      <c r="K29">
        <v>354</v>
      </c>
      <c r="L29">
        <v>90.89</v>
      </c>
      <c r="M29">
        <v>0.25675141242937899</v>
      </c>
    </row>
    <row r="30" spans="1:13" x14ac:dyDescent="0.25">
      <c r="A30" s="16" t="s">
        <v>38</v>
      </c>
      <c r="B30" s="17">
        <v>45047</v>
      </c>
      <c r="C30" s="16" t="s">
        <v>553</v>
      </c>
      <c r="D30">
        <v>2023</v>
      </c>
      <c r="E30" s="16" t="s">
        <v>213</v>
      </c>
      <c r="F30" s="16" t="s">
        <v>216</v>
      </c>
      <c r="G30" s="16" t="s">
        <v>219</v>
      </c>
      <c r="H30" s="16" t="s">
        <v>252</v>
      </c>
      <c r="I30">
        <v>8</v>
      </c>
      <c r="J30">
        <v>75</v>
      </c>
      <c r="K30">
        <v>600</v>
      </c>
      <c r="L30">
        <v>67.75</v>
      </c>
      <c r="M30">
        <v>0.112916666666667</v>
      </c>
    </row>
    <row r="31" spans="1:13" x14ac:dyDescent="0.25">
      <c r="A31" s="16" t="s">
        <v>39</v>
      </c>
      <c r="B31" s="17">
        <v>45078</v>
      </c>
      <c r="C31" s="16" t="s">
        <v>560</v>
      </c>
      <c r="D31">
        <v>2023</v>
      </c>
      <c r="E31" s="16" t="s">
        <v>213</v>
      </c>
      <c r="F31" s="16" t="s">
        <v>215</v>
      </c>
      <c r="G31" s="16" t="s">
        <v>225</v>
      </c>
      <c r="H31" s="16" t="s">
        <v>253</v>
      </c>
      <c r="I31">
        <v>5</v>
      </c>
      <c r="J31">
        <v>174</v>
      </c>
      <c r="K31">
        <v>870</v>
      </c>
      <c r="L31">
        <v>95.7</v>
      </c>
      <c r="M31">
        <v>0.11</v>
      </c>
    </row>
    <row r="32" spans="1:13" x14ac:dyDescent="0.25">
      <c r="A32" s="16" t="s">
        <v>40</v>
      </c>
      <c r="B32" s="17">
        <v>45091</v>
      </c>
      <c r="C32" s="16" t="s">
        <v>560</v>
      </c>
      <c r="D32">
        <v>2023</v>
      </c>
      <c r="E32" s="16" t="s">
        <v>212</v>
      </c>
      <c r="F32" s="16" t="s">
        <v>215</v>
      </c>
      <c r="G32" s="16" t="s">
        <v>222</v>
      </c>
      <c r="H32" s="16" t="s">
        <v>254</v>
      </c>
      <c r="I32">
        <v>8</v>
      </c>
      <c r="J32">
        <v>359</v>
      </c>
      <c r="K32">
        <v>2872</v>
      </c>
      <c r="L32">
        <v>848.13</v>
      </c>
      <c r="M32">
        <v>0.295309888579387</v>
      </c>
    </row>
    <row r="33" spans="1:13" x14ac:dyDescent="0.25">
      <c r="A33" s="16" t="s">
        <v>41</v>
      </c>
      <c r="B33" s="17">
        <v>45245</v>
      </c>
      <c r="C33" s="16" t="s">
        <v>554</v>
      </c>
      <c r="D33">
        <v>2023</v>
      </c>
      <c r="E33" s="16" t="s">
        <v>212</v>
      </c>
      <c r="F33" s="16" t="s">
        <v>216</v>
      </c>
      <c r="G33" s="16" t="s">
        <v>221</v>
      </c>
      <c r="H33" s="16" t="s">
        <v>255</v>
      </c>
      <c r="I33">
        <v>9</v>
      </c>
      <c r="J33">
        <v>278</v>
      </c>
      <c r="K33">
        <v>2502</v>
      </c>
      <c r="L33">
        <v>407.74</v>
      </c>
      <c r="M33">
        <v>0.162965627498002</v>
      </c>
    </row>
    <row r="34" spans="1:13" x14ac:dyDescent="0.25">
      <c r="A34" s="16" t="s">
        <v>42</v>
      </c>
      <c r="B34" s="17">
        <v>45147</v>
      </c>
      <c r="C34" s="16" t="s">
        <v>555</v>
      </c>
      <c r="D34">
        <v>2023</v>
      </c>
      <c r="E34" s="16" t="s">
        <v>211</v>
      </c>
      <c r="F34" s="16" t="s">
        <v>214</v>
      </c>
      <c r="G34" s="16" t="s">
        <v>217</v>
      </c>
      <c r="H34" s="16" t="s">
        <v>256</v>
      </c>
      <c r="I34">
        <v>4</v>
      </c>
      <c r="J34">
        <v>261</v>
      </c>
      <c r="K34">
        <v>1044</v>
      </c>
      <c r="L34">
        <v>115.61</v>
      </c>
      <c r="M34">
        <v>0.11073754789272</v>
      </c>
    </row>
    <row r="35" spans="1:13" x14ac:dyDescent="0.25">
      <c r="A35" s="16" t="s">
        <v>43</v>
      </c>
      <c r="B35" s="17">
        <v>44627</v>
      </c>
      <c r="C35" s="16" t="s">
        <v>563</v>
      </c>
      <c r="D35">
        <v>2022</v>
      </c>
      <c r="E35" s="16" t="s">
        <v>210</v>
      </c>
      <c r="F35" s="16" t="s">
        <v>214</v>
      </c>
      <c r="G35" s="16" t="s">
        <v>217</v>
      </c>
      <c r="H35" s="16" t="s">
        <v>257</v>
      </c>
      <c r="I35">
        <v>7</v>
      </c>
      <c r="J35">
        <v>203</v>
      </c>
      <c r="K35">
        <v>1421</v>
      </c>
      <c r="L35">
        <v>374.15</v>
      </c>
      <c r="M35">
        <v>0.26330049261083699</v>
      </c>
    </row>
    <row r="36" spans="1:13" x14ac:dyDescent="0.25">
      <c r="A36" s="16" t="s">
        <v>44</v>
      </c>
      <c r="B36" s="17">
        <v>44591</v>
      </c>
      <c r="C36" s="16" t="s">
        <v>552</v>
      </c>
      <c r="D36">
        <v>2022</v>
      </c>
      <c r="E36" s="16" t="s">
        <v>210</v>
      </c>
      <c r="F36" s="16" t="s">
        <v>216</v>
      </c>
      <c r="G36" s="16" t="s">
        <v>219</v>
      </c>
      <c r="H36" s="16" t="s">
        <v>258</v>
      </c>
      <c r="I36">
        <v>8</v>
      </c>
      <c r="J36">
        <v>299</v>
      </c>
      <c r="K36">
        <v>2392</v>
      </c>
      <c r="L36">
        <v>360.76</v>
      </c>
      <c r="M36">
        <v>0.15081939799331101</v>
      </c>
    </row>
    <row r="37" spans="1:13" x14ac:dyDescent="0.25">
      <c r="A37" s="16" t="s">
        <v>45</v>
      </c>
      <c r="B37" s="17">
        <v>44904</v>
      </c>
      <c r="C37" s="16" t="s">
        <v>558</v>
      </c>
      <c r="D37">
        <v>2022</v>
      </c>
      <c r="E37" s="16" t="s">
        <v>210</v>
      </c>
      <c r="F37" s="16" t="s">
        <v>215</v>
      </c>
      <c r="G37" s="16" t="s">
        <v>222</v>
      </c>
      <c r="H37" s="16" t="s">
        <v>259</v>
      </c>
      <c r="I37">
        <v>10</v>
      </c>
      <c r="J37">
        <v>137</v>
      </c>
      <c r="K37">
        <v>1370</v>
      </c>
      <c r="L37">
        <v>238.06</v>
      </c>
      <c r="M37">
        <v>0.17376642335766401</v>
      </c>
    </row>
    <row r="38" spans="1:13" x14ac:dyDescent="0.25">
      <c r="A38" s="16" t="s">
        <v>46</v>
      </c>
      <c r="B38" s="17">
        <v>44846</v>
      </c>
      <c r="C38" s="16" t="s">
        <v>557</v>
      </c>
      <c r="D38">
        <v>2022</v>
      </c>
      <c r="E38" s="16" t="s">
        <v>210</v>
      </c>
      <c r="F38" s="16" t="s">
        <v>215</v>
      </c>
      <c r="G38" s="16" t="s">
        <v>225</v>
      </c>
      <c r="H38" s="16" t="s">
        <v>260</v>
      </c>
      <c r="I38">
        <v>4</v>
      </c>
      <c r="J38">
        <v>97</v>
      </c>
      <c r="K38">
        <v>388</v>
      </c>
      <c r="L38">
        <v>93.58</v>
      </c>
      <c r="M38">
        <v>0.24118556701030899</v>
      </c>
    </row>
    <row r="39" spans="1:13" x14ac:dyDescent="0.25">
      <c r="A39" s="16" t="s">
        <v>47</v>
      </c>
      <c r="B39" s="17">
        <v>44844</v>
      </c>
      <c r="C39" s="16" t="s">
        <v>557</v>
      </c>
      <c r="D39">
        <v>2022</v>
      </c>
      <c r="E39" s="16" t="s">
        <v>212</v>
      </c>
      <c r="F39" s="16" t="s">
        <v>216</v>
      </c>
      <c r="G39" s="16" t="s">
        <v>221</v>
      </c>
      <c r="H39" s="16" t="s">
        <v>261</v>
      </c>
      <c r="I39">
        <v>4</v>
      </c>
      <c r="J39">
        <v>32</v>
      </c>
      <c r="K39">
        <v>128</v>
      </c>
      <c r="L39">
        <v>32.36</v>
      </c>
      <c r="M39">
        <v>0.2528125</v>
      </c>
    </row>
    <row r="40" spans="1:13" x14ac:dyDescent="0.25">
      <c r="A40" s="16" t="s">
        <v>48</v>
      </c>
      <c r="B40" s="17">
        <v>45061</v>
      </c>
      <c r="C40" s="16" t="s">
        <v>553</v>
      </c>
      <c r="D40">
        <v>2023</v>
      </c>
      <c r="E40" s="16" t="s">
        <v>212</v>
      </c>
      <c r="F40" s="16" t="s">
        <v>216</v>
      </c>
      <c r="G40" s="16" t="s">
        <v>221</v>
      </c>
      <c r="H40" s="16" t="s">
        <v>262</v>
      </c>
      <c r="I40">
        <v>2</v>
      </c>
      <c r="J40">
        <v>428</v>
      </c>
      <c r="K40">
        <v>856</v>
      </c>
      <c r="L40">
        <v>228.04</v>
      </c>
      <c r="M40">
        <v>0.26640186915887798</v>
      </c>
    </row>
    <row r="41" spans="1:13" x14ac:dyDescent="0.25">
      <c r="A41" s="16" t="s">
        <v>49</v>
      </c>
      <c r="B41" s="17">
        <v>45254</v>
      </c>
      <c r="C41" s="16" t="s">
        <v>554</v>
      </c>
      <c r="D41">
        <v>2023</v>
      </c>
      <c r="E41" s="16" t="s">
        <v>211</v>
      </c>
      <c r="F41" s="16" t="s">
        <v>216</v>
      </c>
      <c r="G41" s="16" t="s">
        <v>219</v>
      </c>
      <c r="H41" s="16" t="s">
        <v>263</v>
      </c>
      <c r="I41">
        <v>6</v>
      </c>
      <c r="J41">
        <v>208</v>
      </c>
      <c r="K41">
        <v>1248</v>
      </c>
      <c r="L41">
        <v>358.59</v>
      </c>
      <c r="M41">
        <v>0.28733173076923102</v>
      </c>
    </row>
    <row r="42" spans="1:13" x14ac:dyDescent="0.25">
      <c r="A42" s="16" t="s">
        <v>50</v>
      </c>
      <c r="B42" s="17">
        <v>45003</v>
      </c>
      <c r="C42" s="16" t="s">
        <v>563</v>
      </c>
      <c r="D42">
        <v>2023</v>
      </c>
      <c r="E42" s="16" t="s">
        <v>211</v>
      </c>
      <c r="F42" s="16" t="s">
        <v>215</v>
      </c>
      <c r="G42" s="16" t="s">
        <v>225</v>
      </c>
      <c r="H42" s="16" t="s">
        <v>264</v>
      </c>
      <c r="I42">
        <v>10</v>
      </c>
      <c r="J42">
        <v>347</v>
      </c>
      <c r="K42">
        <v>3470</v>
      </c>
      <c r="L42">
        <v>778.31</v>
      </c>
      <c r="M42">
        <v>0.224296829971182</v>
      </c>
    </row>
    <row r="43" spans="1:13" x14ac:dyDescent="0.25">
      <c r="A43" s="16" t="s">
        <v>51</v>
      </c>
      <c r="B43" s="17">
        <v>44673</v>
      </c>
      <c r="C43" s="16" t="s">
        <v>561</v>
      </c>
      <c r="D43">
        <v>2022</v>
      </c>
      <c r="E43" s="16" t="s">
        <v>212</v>
      </c>
      <c r="F43" s="16" t="s">
        <v>216</v>
      </c>
      <c r="G43" s="16" t="s">
        <v>223</v>
      </c>
      <c r="H43" s="16" t="s">
        <v>265</v>
      </c>
      <c r="I43">
        <v>3</v>
      </c>
      <c r="J43">
        <v>334</v>
      </c>
      <c r="K43">
        <v>1002</v>
      </c>
      <c r="L43">
        <v>175.26</v>
      </c>
      <c r="M43">
        <v>0.174910179640719</v>
      </c>
    </row>
    <row r="44" spans="1:13" x14ac:dyDescent="0.25">
      <c r="A44" s="16" t="s">
        <v>52</v>
      </c>
      <c r="B44" s="17">
        <v>44889</v>
      </c>
      <c r="C44" s="16" t="s">
        <v>554</v>
      </c>
      <c r="D44">
        <v>2022</v>
      </c>
      <c r="E44" s="16" t="s">
        <v>212</v>
      </c>
      <c r="F44" s="16" t="s">
        <v>216</v>
      </c>
      <c r="G44" s="16" t="s">
        <v>221</v>
      </c>
      <c r="H44" s="16" t="s">
        <v>266</v>
      </c>
      <c r="I44">
        <v>2</v>
      </c>
      <c r="J44">
        <v>47</v>
      </c>
      <c r="K44">
        <v>94</v>
      </c>
      <c r="L44">
        <v>17.77</v>
      </c>
      <c r="M44">
        <v>0.18904255319148899</v>
      </c>
    </row>
    <row r="45" spans="1:13" x14ac:dyDescent="0.25">
      <c r="A45" s="16" t="s">
        <v>53</v>
      </c>
      <c r="B45" s="17">
        <v>44639</v>
      </c>
      <c r="C45" s="16" t="s">
        <v>563</v>
      </c>
      <c r="D45">
        <v>2022</v>
      </c>
      <c r="E45" s="16" t="s">
        <v>212</v>
      </c>
      <c r="F45" s="16" t="s">
        <v>215</v>
      </c>
      <c r="G45" s="16" t="s">
        <v>225</v>
      </c>
      <c r="H45" s="16" t="s">
        <v>267</v>
      </c>
      <c r="I45">
        <v>3</v>
      </c>
      <c r="J45">
        <v>468</v>
      </c>
      <c r="K45">
        <v>1404</v>
      </c>
      <c r="L45">
        <v>384.35</v>
      </c>
      <c r="M45">
        <v>0.27375356125356098</v>
      </c>
    </row>
    <row r="46" spans="1:13" x14ac:dyDescent="0.25">
      <c r="A46" s="16" t="s">
        <v>54</v>
      </c>
      <c r="B46" s="17">
        <v>44997</v>
      </c>
      <c r="C46" s="16" t="s">
        <v>563</v>
      </c>
      <c r="D46">
        <v>2023</v>
      </c>
      <c r="E46" s="16" t="s">
        <v>213</v>
      </c>
      <c r="F46" s="16" t="s">
        <v>216</v>
      </c>
      <c r="G46" s="16" t="s">
        <v>219</v>
      </c>
      <c r="H46" s="16" t="s">
        <v>268</v>
      </c>
      <c r="I46">
        <v>10</v>
      </c>
      <c r="J46">
        <v>65</v>
      </c>
      <c r="K46">
        <v>650</v>
      </c>
      <c r="L46">
        <v>74.58</v>
      </c>
      <c r="M46">
        <v>0.114738461538462</v>
      </c>
    </row>
    <row r="47" spans="1:13" x14ac:dyDescent="0.25">
      <c r="A47" s="16" t="s">
        <v>55</v>
      </c>
      <c r="B47" s="17">
        <v>45260</v>
      </c>
      <c r="C47" s="16" t="s">
        <v>554</v>
      </c>
      <c r="D47">
        <v>2023</v>
      </c>
      <c r="E47" s="16" t="s">
        <v>211</v>
      </c>
      <c r="F47" s="16" t="s">
        <v>215</v>
      </c>
      <c r="G47" s="16" t="s">
        <v>218</v>
      </c>
      <c r="H47" s="16" t="s">
        <v>269</v>
      </c>
      <c r="I47">
        <v>1</v>
      </c>
      <c r="J47">
        <v>376</v>
      </c>
      <c r="K47">
        <v>376</v>
      </c>
      <c r="L47">
        <v>40.340000000000003</v>
      </c>
      <c r="M47">
        <v>0.107287234042553</v>
      </c>
    </row>
    <row r="48" spans="1:13" x14ac:dyDescent="0.25">
      <c r="A48" s="16" t="s">
        <v>56</v>
      </c>
      <c r="B48" s="17">
        <v>45193</v>
      </c>
      <c r="C48" s="16" t="s">
        <v>562</v>
      </c>
      <c r="D48">
        <v>2023</v>
      </c>
      <c r="E48" s="16" t="s">
        <v>210</v>
      </c>
      <c r="F48" s="16" t="s">
        <v>216</v>
      </c>
      <c r="G48" s="16" t="s">
        <v>221</v>
      </c>
      <c r="H48" s="16" t="s">
        <v>262</v>
      </c>
      <c r="I48">
        <v>4</v>
      </c>
      <c r="J48">
        <v>104</v>
      </c>
      <c r="K48">
        <v>416</v>
      </c>
      <c r="L48">
        <v>47.19</v>
      </c>
      <c r="M48">
        <v>0.1134375</v>
      </c>
    </row>
    <row r="49" spans="1:13" x14ac:dyDescent="0.25">
      <c r="A49" s="16" t="s">
        <v>57</v>
      </c>
      <c r="B49" s="17">
        <v>45236</v>
      </c>
      <c r="C49" s="16" t="s">
        <v>554</v>
      </c>
      <c r="D49">
        <v>2023</v>
      </c>
      <c r="E49" s="16" t="s">
        <v>210</v>
      </c>
      <c r="F49" s="16" t="s">
        <v>215</v>
      </c>
      <c r="G49" s="16" t="s">
        <v>218</v>
      </c>
      <c r="H49" s="16" t="s">
        <v>270</v>
      </c>
      <c r="I49">
        <v>9</v>
      </c>
      <c r="J49">
        <v>124</v>
      </c>
      <c r="K49">
        <v>1116</v>
      </c>
      <c r="L49">
        <v>186.19</v>
      </c>
      <c r="M49">
        <v>0.16683691756272401</v>
      </c>
    </row>
    <row r="50" spans="1:13" x14ac:dyDescent="0.25">
      <c r="A50" s="16" t="s">
        <v>58</v>
      </c>
      <c r="B50" s="17">
        <v>45244</v>
      </c>
      <c r="C50" s="16" t="s">
        <v>554</v>
      </c>
      <c r="D50">
        <v>2023</v>
      </c>
      <c r="E50" s="16" t="s">
        <v>213</v>
      </c>
      <c r="F50" s="16" t="s">
        <v>214</v>
      </c>
      <c r="G50" s="16" t="s">
        <v>217</v>
      </c>
      <c r="H50" s="16" t="s">
        <v>241</v>
      </c>
      <c r="I50">
        <v>10</v>
      </c>
      <c r="J50">
        <v>133</v>
      </c>
      <c r="K50">
        <v>1330</v>
      </c>
      <c r="L50">
        <v>280.27</v>
      </c>
      <c r="M50">
        <v>0.21072932330827099</v>
      </c>
    </row>
    <row r="51" spans="1:13" x14ac:dyDescent="0.25">
      <c r="A51" s="16" t="s">
        <v>59</v>
      </c>
      <c r="B51" s="17">
        <v>44741</v>
      </c>
      <c r="C51" s="16" t="s">
        <v>560</v>
      </c>
      <c r="D51">
        <v>2022</v>
      </c>
      <c r="E51" s="16" t="s">
        <v>210</v>
      </c>
      <c r="F51" s="16" t="s">
        <v>216</v>
      </c>
      <c r="G51" s="16" t="s">
        <v>221</v>
      </c>
      <c r="H51" s="16" t="s">
        <v>271</v>
      </c>
      <c r="I51">
        <v>6</v>
      </c>
      <c r="J51">
        <v>360</v>
      </c>
      <c r="K51">
        <v>2160</v>
      </c>
      <c r="L51">
        <v>330.16</v>
      </c>
      <c r="M51">
        <v>0.15285185185185199</v>
      </c>
    </row>
    <row r="52" spans="1:13" x14ac:dyDescent="0.25">
      <c r="A52" s="16" t="s">
        <v>60</v>
      </c>
      <c r="B52" s="17">
        <v>45107</v>
      </c>
      <c r="C52" s="16" t="s">
        <v>560</v>
      </c>
      <c r="D52">
        <v>2023</v>
      </c>
      <c r="E52" s="16" t="s">
        <v>213</v>
      </c>
      <c r="F52" s="16" t="s">
        <v>215</v>
      </c>
      <c r="G52" s="16" t="s">
        <v>222</v>
      </c>
      <c r="H52" s="16" t="s">
        <v>272</v>
      </c>
      <c r="I52">
        <v>3</v>
      </c>
      <c r="J52">
        <v>230</v>
      </c>
      <c r="K52">
        <v>690</v>
      </c>
      <c r="L52">
        <v>165.66</v>
      </c>
      <c r="M52">
        <v>0.240086956521739</v>
      </c>
    </row>
    <row r="53" spans="1:13" x14ac:dyDescent="0.25">
      <c r="A53" s="16" t="s">
        <v>61</v>
      </c>
      <c r="B53" s="17">
        <v>45172</v>
      </c>
      <c r="C53" s="16" t="s">
        <v>562</v>
      </c>
      <c r="D53">
        <v>2023</v>
      </c>
      <c r="E53" s="16" t="s">
        <v>211</v>
      </c>
      <c r="F53" s="16" t="s">
        <v>216</v>
      </c>
      <c r="G53" s="16" t="s">
        <v>221</v>
      </c>
      <c r="H53" s="16" t="s">
        <v>261</v>
      </c>
      <c r="I53">
        <v>8</v>
      </c>
      <c r="J53">
        <v>90</v>
      </c>
      <c r="K53">
        <v>720</v>
      </c>
      <c r="L53">
        <v>128.15</v>
      </c>
      <c r="M53">
        <v>0.17798611111111101</v>
      </c>
    </row>
    <row r="54" spans="1:13" x14ac:dyDescent="0.25">
      <c r="A54" s="16" t="s">
        <v>62</v>
      </c>
      <c r="B54" s="17">
        <v>45122</v>
      </c>
      <c r="C54" s="16" t="s">
        <v>559</v>
      </c>
      <c r="D54">
        <v>2023</v>
      </c>
      <c r="E54" s="16" t="s">
        <v>212</v>
      </c>
      <c r="F54" s="16" t="s">
        <v>215</v>
      </c>
      <c r="G54" s="16" t="s">
        <v>225</v>
      </c>
      <c r="H54" s="16" t="s">
        <v>273</v>
      </c>
      <c r="I54">
        <v>6</v>
      </c>
      <c r="J54">
        <v>308</v>
      </c>
      <c r="K54">
        <v>1848</v>
      </c>
      <c r="L54">
        <v>524.61</v>
      </c>
      <c r="M54">
        <v>0.28387987012986998</v>
      </c>
    </row>
    <row r="55" spans="1:13" x14ac:dyDescent="0.25">
      <c r="A55" s="16" t="s">
        <v>63</v>
      </c>
      <c r="B55" s="17">
        <v>44823</v>
      </c>
      <c r="C55" s="16" t="s">
        <v>562</v>
      </c>
      <c r="D55">
        <v>2022</v>
      </c>
      <c r="E55" s="16" t="s">
        <v>213</v>
      </c>
      <c r="F55" s="16" t="s">
        <v>214</v>
      </c>
      <c r="G55" s="16" t="s">
        <v>224</v>
      </c>
      <c r="H55" s="16" t="s">
        <v>274</v>
      </c>
      <c r="I55">
        <v>2</v>
      </c>
      <c r="J55">
        <v>84</v>
      </c>
      <c r="K55">
        <v>168</v>
      </c>
      <c r="L55">
        <v>21.72</v>
      </c>
      <c r="M55">
        <v>0.129285714285714</v>
      </c>
    </row>
    <row r="56" spans="1:13" x14ac:dyDescent="0.25">
      <c r="A56" s="16" t="s">
        <v>64</v>
      </c>
      <c r="B56" s="17">
        <v>44900</v>
      </c>
      <c r="C56" s="16" t="s">
        <v>558</v>
      </c>
      <c r="D56">
        <v>2022</v>
      </c>
      <c r="E56" s="16" t="s">
        <v>210</v>
      </c>
      <c r="F56" s="16" t="s">
        <v>216</v>
      </c>
      <c r="G56" s="16" t="s">
        <v>219</v>
      </c>
      <c r="H56" s="16" t="s">
        <v>275</v>
      </c>
      <c r="I56">
        <v>6</v>
      </c>
      <c r="J56">
        <v>287</v>
      </c>
      <c r="K56">
        <v>1722</v>
      </c>
      <c r="L56">
        <v>426.22</v>
      </c>
      <c r="M56">
        <v>0.24751451800232299</v>
      </c>
    </row>
    <row r="57" spans="1:13" x14ac:dyDescent="0.25">
      <c r="A57" s="16" t="s">
        <v>65</v>
      </c>
      <c r="B57" s="17">
        <v>44643</v>
      </c>
      <c r="C57" s="16" t="s">
        <v>563</v>
      </c>
      <c r="D57">
        <v>2022</v>
      </c>
      <c r="E57" s="16" t="s">
        <v>213</v>
      </c>
      <c r="F57" s="16" t="s">
        <v>215</v>
      </c>
      <c r="G57" s="16" t="s">
        <v>225</v>
      </c>
      <c r="H57" s="16" t="s">
        <v>276</v>
      </c>
      <c r="I57">
        <v>9</v>
      </c>
      <c r="J57">
        <v>197</v>
      </c>
      <c r="K57">
        <v>1773</v>
      </c>
      <c r="L57">
        <v>443.12</v>
      </c>
      <c r="M57">
        <v>0.24992667794698201</v>
      </c>
    </row>
    <row r="58" spans="1:13" x14ac:dyDescent="0.25">
      <c r="A58" s="16" t="s">
        <v>66</v>
      </c>
      <c r="B58" s="17">
        <v>45165</v>
      </c>
      <c r="C58" s="16" t="s">
        <v>555</v>
      </c>
      <c r="D58">
        <v>2023</v>
      </c>
      <c r="E58" s="16" t="s">
        <v>210</v>
      </c>
      <c r="F58" s="16" t="s">
        <v>214</v>
      </c>
      <c r="G58" s="16" t="s">
        <v>224</v>
      </c>
      <c r="H58" s="16" t="s">
        <v>274</v>
      </c>
      <c r="I58">
        <v>3</v>
      </c>
      <c r="J58">
        <v>490</v>
      </c>
      <c r="K58">
        <v>1470</v>
      </c>
      <c r="L58">
        <v>244.29</v>
      </c>
      <c r="M58">
        <v>0.166183673469388</v>
      </c>
    </row>
    <row r="59" spans="1:13" x14ac:dyDescent="0.25">
      <c r="A59" s="16" t="s">
        <v>67</v>
      </c>
      <c r="B59" s="17">
        <v>44894</v>
      </c>
      <c r="C59" s="16" t="s">
        <v>554</v>
      </c>
      <c r="D59">
        <v>2022</v>
      </c>
      <c r="E59" s="16" t="s">
        <v>210</v>
      </c>
      <c r="F59" s="16" t="s">
        <v>215</v>
      </c>
      <c r="G59" s="16" t="s">
        <v>222</v>
      </c>
      <c r="H59" s="16" t="s">
        <v>277</v>
      </c>
      <c r="I59">
        <v>5</v>
      </c>
      <c r="J59">
        <v>409</v>
      </c>
      <c r="K59">
        <v>2045</v>
      </c>
      <c r="L59">
        <v>593.16</v>
      </c>
      <c r="M59">
        <v>0.290053789731051</v>
      </c>
    </row>
    <row r="60" spans="1:13" x14ac:dyDescent="0.25">
      <c r="A60" s="16" t="s">
        <v>68</v>
      </c>
      <c r="B60" s="17">
        <v>45196</v>
      </c>
      <c r="C60" s="16" t="s">
        <v>562</v>
      </c>
      <c r="D60">
        <v>2023</v>
      </c>
      <c r="E60" s="16" t="s">
        <v>213</v>
      </c>
      <c r="F60" s="16" t="s">
        <v>214</v>
      </c>
      <c r="G60" s="16" t="s">
        <v>220</v>
      </c>
      <c r="H60" s="16" t="s">
        <v>278</v>
      </c>
      <c r="I60">
        <v>10</v>
      </c>
      <c r="J60">
        <v>163</v>
      </c>
      <c r="K60">
        <v>1630</v>
      </c>
      <c r="L60">
        <v>450.65</v>
      </c>
      <c r="M60">
        <v>0.27647239263803702</v>
      </c>
    </row>
    <row r="61" spans="1:13" x14ac:dyDescent="0.25">
      <c r="A61" s="16" t="s">
        <v>69</v>
      </c>
      <c r="B61" s="17">
        <v>44568</v>
      </c>
      <c r="C61" s="16" t="s">
        <v>552</v>
      </c>
      <c r="D61">
        <v>2022</v>
      </c>
      <c r="E61" s="16" t="s">
        <v>212</v>
      </c>
      <c r="F61" s="16" t="s">
        <v>215</v>
      </c>
      <c r="G61" s="16" t="s">
        <v>222</v>
      </c>
      <c r="H61" s="16" t="s">
        <v>279</v>
      </c>
      <c r="I61">
        <v>9</v>
      </c>
      <c r="J61">
        <v>420</v>
      </c>
      <c r="K61">
        <v>3780</v>
      </c>
      <c r="L61">
        <v>1094.6600000000001</v>
      </c>
      <c r="M61">
        <v>0.28959259259259301</v>
      </c>
    </row>
    <row r="62" spans="1:13" x14ac:dyDescent="0.25">
      <c r="A62" s="16" t="s">
        <v>70</v>
      </c>
      <c r="B62" s="17">
        <v>44692</v>
      </c>
      <c r="C62" s="16" t="s">
        <v>553</v>
      </c>
      <c r="D62">
        <v>2022</v>
      </c>
      <c r="E62" s="16" t="s">
        <v>210</v>
      </c>
      <c r="F62" s="16" t="s">
        <v>214</v>
      </c>
      <c r="G62" s="16" t="s">
        <v>217</v>
      </c>
      <c r="H62" s="16" t="s">
        <v>280</v>
      </c>
      <c r="I62">
        <v>7</v>
      </c>
      <c r="J62">
        <v>101</v>
      </c>
      <c r="K62">
        <v>707</v>
      </c>
      <c r="L62">
        <v>120.19</v>
      </c>
      <c r="M62">
        <v>0.17</v>
      </c>
    </row>
    <row r="63" spans="1:13" x14ac:dyDescent="0.25">
      <c r="A63" s="16" t="s">
        <v>71</v>
      </c>
      <c r="B63" s="17">
        <v>44715</v>
      </c>
      <c r="C63" s="16" t="s">
        <v>560</v>
      </c>
      <c r="D63">
        <v>2022</v>
      </c>
      <c r="E63" s="16" t="s">
        <v>211</v>
      </c>
      <c r="F63" s="16" t="s">
        <v>214</v>
      </c>
      <c r="G63" s="16" t="s">
        <v>224</v>
      </c>
      <c r="H63" s="16" t="s">
        <v>242</v>
      </c>
      <c r="I63">
        <v>10</v>
      </c>
      <c r="J63">
        <v>244</v>
      </c>
      <c r="K63">
        <v>2440</v>
      </c>
      <c r="L63">
        <v>517.26</v>
      </c>
      <c r="M63">
        <v>0.21199180327868899</v>
      </c>
    </row>
    <row r="64" spans="1:13" x14ac:dyDescent="0.25">
      <c r="A64" s="16" t="s">
        <v>72</v>
      </c>
      <c r="B64" s="17">
        <v>44902</v>
      </c>
      <c r="C64" s="16" t="s">
        <v>558</v>
      </c>
      <c r="D64">
        <v>2022</v>
      </c>
      <c r="E64" s="16" t="s">
        <v>211</v>
      </c>
      <c r="F64" s="16" t="s">
        <v>215</v>
      </c>
      <c r="G64" s="16" t="s">
        <v>225</v>
      </c>
      <c r="H64" s="16" t="s">
        <v>281</v>
      </c>
      <c r="I64">
        <v>4</v>
      </c>
      <c r="J64">
        <v>388</v>
      </c>
      <c r="K64">
        <v>1552</v>
      </c>
      <c r="L64">
        <v>419.51</v>
      </c>
      <c r="M64">
        <v>0.27030283505154601</v>
      </c>
    </row>
    <row r="65" spans="1:13" x14ac:dyDescent="0.25">
      <c r="A65" s="16" t="s">
        <v>73</v>
      </c>
      <c r="B65" s="17">
        <v>44696</v>
      </c>
      <c r="C65" s="16" t="s">
        <v>553</v>
      </c>
      <c r="D65">
        <v>2022</v>
      </c>
      <c r="E65" s="16" t="s">
        <v>211</v>
      </c>
      <c r="F65" s="16" t="s">
        <v>214</v>
      </c>
      <c r="G65" s="16" t="s">
        <v>220</v>
      </c>
      <c r="H65" s="16" t="s">
        <v>282</v>
      </c>
      <c r="I65">
        <v>5</v>
      </c>
      <c r="J65">
        <v>480</v>
      </c>
      <c r="K65">
        <v>2400</v>
      </c>
      <c r="L65">
        <v>630.16</v>
      </c>
      <c r="M65">
        <v>0.262566666666667</v>
      </c>
    </row>
    <row r="66" spans="1:13" x14ac:dyDescent="0.25">
      <c r="A66" s="16" t="s">
        <v>74</v>
      </c>
      <c r="B66" s="17">
        <v>44690</v>
      </c>
      <c r="C66" s="16" t="s">
        <v>553</v>
      </c>
      <c r="D66">
        <v>2022</v>
      </c>
      <c r="E66" s="16" t="s">
        <v>211</v>
      </c>
      <c r="F66" s="16" t="s">
        <v>214</v>
      </c>
      <c r="G66" s="16" t="s">
        <v>220</v>
      </c>
      <c r="H66" s="16" t="s">
        <v>283</v>
      </c>
      <c r="I66">
        <v>10</v>
      </c>
      <c r="J66">
        <v>85</v>
      </c>
      <c r="K66">
        <v>850</v>
      </c>
      <c r="L66">
        <v>205.1</v>
      </c>
      <c r="M66">
        <v>0.24129411764705899</v>
      </c>
    </row>
    <row r="67" spans="1:13" x14ac:dyDescent="0.25">
      <c r="A67" s="16" t="s">
        <v>75</v>
      </c>
      <c r="B67" s="17">
        <v>44675</v>
      </c>
      <c r="C67" s="16" t="s">
        <v>561</v>
      </c>
      <c r="D67">
        <v>2022</v>
      </c>
      <c r="E67" s="16" t="s">
        <v>211</v>
      </c>
      <c r="F67" s="16" t="s">
        <v>216</v>
      </c>
      <c r="G67" s="16" t="s">
        <v>219</v>
      </c>
      <c r="H67" s="16" t="s">
        <v>284</v>
      </c>
      <c r="I67">
        <v>9</v>
      </c>
      <c r="J67">
        <v>494</v>
      </c>
      <c r="K67">
        <v>4446</v>
      </c>
      <c r="L67">
        <v>930.75</v>
      </c>
      <c r="M67">
        <v>0.20934547908232101</v>
      </c>
    </row>
    <row r="68" spans="1:13" x14ac:dyDescent="0.25">
      <c r="A68" s="16" t="s">
        <v>76</v>
      </c>
      <c r="B68" s="17">
        <v>45029</v>
      </c>
      <c r="C68" s="16" t="s">
        <v>561</v>
      </c>
      <c r="D68">
        <v>2023</v>
      </c>
      <c r="E68" s="16" t="s">
        <v>211</v>
      </c>
      <c r="F68" s="16" t="s">
        <v>214</v>
      </c>
      <c r="G68" s="16" t="s">
        <v>220</v>
      </c>
      <c r="H68" s="16" t="s">
        <v>285</v>
      </c>
      <c r="I68">
        <v>4</v>
      </c>
      <c r="J68">
        <v>77</v>
      </c>
      <c r="K68">
        <v>308</v>
      </c>
      <c r="L68">
        <v>80.84</v>
      </c>
      <c r="M68">
        <v>0.26246753246753202</v>
      </c>
    </row>
    <row r="69" spans="1:13" x14ac:dyDescent="0.25">
      <c r="A69" s="16" t="s">
        <v>77</v>
      </c>
      <c r="B69" s="17">
        <v>44895</v>
      </c>
      <c r="C69" s="16" t="s">
        <v>554</v>
      </c>
      <c r="D69">
        <v>2022</v>
      </c>
      <c r="E69" s="16" t="s">
        <v>211</v>
      </c>
      <c r="F69" s="16" t="s">
        <v>216</v>
      </c>
      <c r="G69" s="16" t="s">
        <v>219</v>
      </c>
      <c r="H69" s="16" t="s">
        <v>286</v>
      </c>
      <c r="I69">
        <v>3</v>
      </c>
      <c r="J69">
        <v>446</v>
      </c>
      <c r="K69">
        <v>1338</v>
      </c>
      <c r="L69">
        <v>340.02</v>
      </c>
      <c r="M69">
        <v>0.25412556053811702</v>
      </c>
    </row>
    <row r="70" spans="1:13" x14ac:dyDescent="0.25">
      <c r="A70" s="16" t="s">
        <v>78</v>
      </c>
      <c r="B70" s="17">
        <v>45058</v>
      </c>
      <c r="C70" s="16" t="s">
        <v>553</v>
      </c>
      <c r="D70">
        <v>2023</v>
      </c>
      <c r="E70" s="16" t="s">
        <v>212</v>
      </c>
      <c r="F70" s="16" t="s">
        <v>216</v>
      </c>
      <c r="G70" s="16" t="s">
        <v>221</v>
      </c>
      <c r="H70" s="16" t="s">
        <v>287</v>
      </c>
      <c r="I70">
        <v>7</v>
      </c>
      <c r="J70">
        <v>156</v>
      </c>
      <c r="K70">
        <v>1092</v>
      </c>
      <c r="L70">
        <v>128.36000000000001</v>
      </c>
      <c r="M70">
        <v>0.117545787545788</v>
      </c>
    </row>
    <row r="71" spans="1:13" x14ac:dyDescent="0.25">
      <c r="A71" s="16" t="s">
        <v>79</v>
      </c>
      <c r="B71" s="17">
        <v>45014</v>
      </c>
      <c r="C71" s="16" t="s">
        <v>563</v>
      </c>
      <c r="D71">
        <v>2023</v>
      </c>
      <c r="E71" s="16" t="s">
        <v>211</v>
      </c>
      <c r="F71" s="16" t="s">
        <v>214</v>
      </c>
      <c r="G71" s="16" t="s">
        <v>217</v>
      </c>
      <c r="H71" s="16" t="s">
        <v>288</v>
      </c>
      <c r="I71">
        <v>5</v>
      </c>
      <c r="J71">
        <v>397</v>
      </c>
      <c r="K71">
        <v>1985</v>
      </c>
      <c r="L71">
        <v>453.11</v>
      </c>
      <c r="M71">
        <v>0.22826700251889201</v>
      </c>
    </row>
    <row r="72" spans="1:13" x14ac:dyDescent="0.25">
      <c r="A72" s="16" t="s">
        <v>80</v>
      </c>
      <c r="B72" s="17">
        <v>44689</v>
      </c>
      <c r="C72" s="16" t="s">
        <v>553</v>
      </c>
      <c r="D72">
        <v>2022</v>
      </c>
      <c r="E72" s="16" t="s">
        <v>210</v>
      </c>
      <c r="F72" s="16" t="s">
        <v>215</v>
      </c>
      <c r="G72" s="16" t="s">
        <v>218</v>
      </c>
      <c r="H72" s="16" t="s">
        <v>289</v>
      </c>
      <c r="I72">
        <v>4</v>
      </c>
      <c r="J72">
        <v>190</v>
      </c>
      <c r="K72">
        <v>760</v>
      </c>
      <c r="L72">
        <v>217.88</v>
      </c>
      <c r="M72">
        <v>0.28668421052631599</v>
      </c>
    </row>
    <row r="73" spans="1:13" x14ac:dyDescent="0.25">
      <c r="A73" s="16" t="s">
        <v>81</v>
      </c>
      <c r="B73" s="17">
        <v>44923</v>
      </c>
      <c r="C73" s="16" t="s">
        <v>558</v>
      </c>
      <c r="D73">
        <v>2022</v>
      </c>
      <c r="E73" s="16" t="s">
        <v>210</v>
      </c>
      <c r="F73" s="16" t="s">
        <v>216</v>
      </c>
      <c r="G73" s="16" t="s">
        <v>221</v>
      </c>
      <c r="H73" s="16" t="s">
        <v>261</v>
      </c>
      <c r="I73">
        <v>1</v>
      </c>
      <c r="J73">
        <v>252</v>
      </c>
      <c r="K73">
        <v>252</v>
      </c>
      <c r="L73">
        <v>53.24</v>
      </c>
      <c r="M73">
        <v>0.211269841269841</v>
      </c>
    </row>
    <row r="74" spans="1:13" x14ac:dyDescent="0.25">
      <c r="A74" s="16" t="s">
        <v>82</v>
      </c>
      <c r="B74" s="17">
        <v>45018</v>
      </c>
      <c r="C74" s="16" t="s">
        <v>561</v>
      </c>
      <c r="D74">
        <v>2023</v>
      </c>
      <c r="E74" s="16" t="s">
        <v>210</v>
      </c>
      <c r="F74" s="16" t="s">
        <v>214</v>
      </c>
      <c r="G74" s="16" t="s">
        <v>224</v>
      </c>
      <c r="H74" s="16" t="s">
        <v>290</v>
      </c>
      <c r="I74">
        <v>3</v>
      </c>
      <c r="J74">
        <v>419</v>
      </c>
      <c r="K74">
        <v>1257</v>
      </c>
      <c r="L74">
        <v>182.05</v>
      </c>
      <c r="M74">
        <v>0.14482895783611799</v>
      </c>
    </row>
    <row r="75" spans="1:13" x14ac:dyDescent="0.25">
      <c r="A75" s="16" t="s">
        <v>83</v>
      </c>
      <c r="B75" s="17">
        <v>44677</v>
      </c>
      <c r="C75" s="16" t="s">
        <v>561</v>
      </c>
      <c r="D75">
        <v>2022</v>
      </c>
      <c r="E75" s="16" t="s">
        <v>213</v>
      </c>
      <c r="F75" s="16" t="s">
        <v>216</v>
      </c>
      <c r="G75" s="16" t="s">
        <v>221</v>
      </c>
      <c r="H75" s="16" t="s">
        <v>291</v>
      </c>
      <c r="I75">
        <v>4</v>
      </c>
      <c r="J75">
        <v>371</v>
      </c>
      <c r="K75">
        <v>1484</v>
      </c>
      <c r="L75">
        <v>318.45</v>
      </c>
      <c r="M75">
        <v>0.214588948787062</v>
      </c>
    </row>
    <row r="76" spans="1:13" x14ac:dyDescent="0.25">
      <c r="A76" s="16" t="s">
        <v>84</v>
      </c>
      <c r="B76" s="17">
        <v>45196</v>
      </c>
      <c r="C76" s="16" t="s">
        <v>562</v>
      </c>
      <c r="D76">
        <v>2023</v>
      </c>
      <c r="E76" s="16" t="s">
        <v>212</v>
      </c>
      <c r="F76" s="16" t="s">
        <v>216</v>
      </c>
      <c r="G76" s="16" t="s">
        <v>223</v>
      </c>
      <c r="H76" s="16" t="s">
        <v>292</v>
      </c>
      <c r="I76">
        <v>8</v>
      </c>
      <c r="J76">
        <v>337</v>
      </c>
      <c r="K76">
        <v>2696</v>
      </c>
      <c r="L76">
        <v>393.67</v>
      </c>
      <c r="M76">
        <v>0.14602002967359001</v>
      </c>
    </row>
    <row r="77" spans="1:13" x14ac:dyDescent="0.25">
      <c r="A77" s="16" t="s">
        <v>85</v>
      </c>
      <c r="B77" s="17">
        <v>44790</v>
      </c>
      <c r="C77" s="16" t="s">
        <v>555</v>
      </c>
      <c r="D77">
        <v>2022</v>
      </c>
      <c r="E77" s="16" t="s">
        <v>210</v>
      </c>
      <c r="F77" s="16" t="s">
        <v>215</v>
      </c>
      <c r="G77" s="16" t="s">
        <v>222</v>
      </c>
      <c r="H77" s="16" t="s">
        <v>293</v>
      </c>
      <c r="I77">
        <v>6</v>
      </c>
      <c r="J77">
        <v>78</v>
      </c>
      <c r="K77">
        <v>468</v>
      </c>
      <c r="L77">
        <v>129.29</v>
      </c>
      <c r="M77">
        <v>0.27626068376068402</v>
      </c>
    </row>
    <row r="78" spans="1:13" x14ac:dyDescent="0.25">
      <c r="A78" s="16" t="s">
        <v>86</v>
      </c>
      <c r="B78" s="17">
        <v>45260</v>
      </c>
      <c r="C78" s="16" t="s">
        <v>554</v>
      </c>
      <c r="D78">
        <v>2023</v>
      </c>
      <c r="E78" s="16" t="s">
        <v>212</v>
      </c>
      <c r="F78" s="16" t="s">
        <v>214</v>
      </c>
      <c r="G78" s="16" t="s">
        <v>220</v>
      </c>
      <c r="H78" s="16" t="s">
        <v>294</v>
      </c>
      <c r="I78">
        <v>3</v>
      </c>
      <c r="J78">
        <v>422</v>
      </c>
      <c r="K78">
        <v>1266</v>
      </c>
      <c r="L78">
        <v>196.41</v>
      </c>
      <c r="M78">
        <v>0.155142180094787</v>
      </c>
    </row>
    <row r="79" spans="1:13" x14ac:dyDescent="0.25">
      <c r="A79" s="16" t="s">
        <v>87</v>
      </c>
      <c r="B79" s="17">
        <v>45181</v>
      </c>
      <c r="C79" s="16" t="s">
        <v>562</v>
      </c>
      <c r="D79">
        <v>2023</v>
      </c>
      <c r="E79" s="16" t="s">
        <v>210</v>
      </c>
      <c r="F79" s="16" t="s">
        <v>215</v>
      </c>
      <c r="G79" s="16" t="s">
        <v>222</v>
      </c>
      <c r="H79" s="16" t="s">
        <v>295</v>
      </c>
      <c r="I79">
        <v>8</v>
      </c>
      <c r="J79">
        <v>495</v>
      </c>
      <c r="K79">
        <v>3960</v>
      </c>
      <c r="L79">
        <v>729.19</v>
      </c>
      <c r="M79">
        <v>0.18413888888888899</v>
      </c>
    </row>
    <row r="80" spans="1:13" x14ac:dyDescent="0.25">
      <c r="A80" s="16" t="s">
        <v>88</v>
      </c>
      <c r="B80" s="17">
        <v>45244</v>
      </c>
      <c r="C80" s="16" t="s">
        <v>554</v>
      </c>
      <c r="D80">
        <v>2023</v>
      </c>
      <c r="E80" s="16" t="s">
        <v>210</v>
      </c>
      <c r="F80" s="16" t="s">
        <v>215</v>
      </c>
      <c r="G80" s="16" t="s">
        <v>225</v>
      </c>
      <c r="H80" s="16" t="s">
        <v>296</v>
      </c>
      <c r="I80">
        <v>1</v>
      </c>
      <c r="J80">
        <v>335</v>
      </c>
      <c r="K80">
        <v>335</v>
      </c>
      <c r="L80">
        <v>66.23</v>
      </c>
      <c r="M80">
        <v>0.19770149253731301</v>
      </c>
    </row>
    <row r="81" spans="1:13" x14ac:dyDescent="0.25">
      <c r="A81" s="16" t="s">
        <v>89</v>
      </c>
      <c r="B81" s="17">
        <v>44708</v>
      </c>
      <c r="C81" s="16" t="s">
        <v>553</v>
      </c>
      <c r="D81">
        <v>2022</v>
      </c>
      <c r="E81" s="16" t="s">
        <v>211</v>
      </c>
      <c r="F81" s="16" t="s">
        <v>216</v>
      </c>
      <c r="G81" s="16" t="s">
        <v>219</v>
      </c>
      <c r="H81" s="16" t="s">
        <v>286</v>
      </c>
      <c r="I81">
        <v>9</v>
      </c>
      <c r="J81">
        <v>254</v>
      </c>
      <c r="K81">
        <v>2286</v>
      </c>
      <c r="L81">
        <v>288.2</v>
      </c>
      <c r="M81">
        <v>0.12607174103237101</v>
      </c>
    </row>
    <row r="82" spans="1:13" x14ac:dyDescent="0.25">
      <c r="A82" s="16" t="s">
        <v>90</v>
      </c>
      <c r="B82" s="17">
        <v>44849</v>
      </c>
      <c r="C82" s="16" t="s">
        <v>557</v>
      </c>
      <c r="D82">
        <v>2022</v>
      </c>
      <c r="E82" s="16" t="s">
        <v>210</v>
      </c>
      <c r="F82" s="16" t="s">
        <v>215</v>
      </c>
      <c r="G82" s="16" t="s">
        <v>218</v>
      </c>
      <c r="H82" s="16" t="s">
        <v>297</v>
      </c>
      <c r="I82">
        <v>5</v>
      </c>
      <c r="J82">
        <v>224</v>
      </c>
      <c r="K82">
        <v>1120</v>
      </c>
      <c r="L82">
        <v>214.12</v>
      </c>
      <c r="M82">
        <v>0.191178571428571</v>
      </c>
    </row>
    <row r="83" spans="1:13" x14ac:dyDescent="0.25">
      <c r="A83" s="16" t="s">
        <v>91</v>
      </c>
      <c r="B83" s="17">
        <v>45152</v>
      </c>
      <c r="C83" s="16" t="s">
        <v>555</v>
      </c>
      <c r="D83">
        <v>2023</v>
      </c>
      <c r="E83" s="16" t="s">
        <v>213</v>
      </c>
      <c r="F83" s="16" t="s">
        <v>216</v>
      </c>
      <c r="G83" s="16" t="s">
        <v>223</v>
      </c>
      <c r="H83" s="16" t="s">
        <v>298</v>
      </c>
      <c r="I83">
        <v>2</v>
      </c>
      <c r="J83">
        <v>335</v>
      </c>
      <c r="K83">
        <v>670</v>
      </c>
      <c r="L83">
        <v>141.44999999999999</v>
      </c>
      <c r="M83">
        <v>0.21111940298507501</v>
      </c>
    </row>
    <row r="84" spans="1:13" x14ac:dyDescent="0.25">
      <c r="A84" s="16" t="s">
        <v>92</v>
      </c>
      <c r="B84" s="17">
        <v>44736</v>
      </c>
      <c r="C84" s="16" t="s">
        <v>560</v>
      </c>
      <c r="D84">
        <v>2022</v>
      </c>
      <c r="E84" s="16" t="s">
        <v>211</v>
      </c>
      <c r="F84" s="16" t="s">
        <v>214</v>
      </c>
      <c r="G84" s="16" t="s">
        <v>224</v>
      </c>
      <c r="H84" s="16" t="s">
        <v>299</v>
      </c>
      <c r="I84">
        <v>2</v>
      </c>
      <c r="J84">
        <v>464</v>
      </c>
      <c r="K84">
        <v>928</v>
      </c>
      <c r="L84">
        <v>221.89</v>
      </c>
      <c r="M84">
        <v>0.239105603448276</v>
      </c>
    </row>
    <row r="85" spans="1:13" x14ac:dyDescent="0.25">
      <c r="A85" s="16" t="s">
        <v>93</v>
      </c>
      <c r="B85" s="17">
        <v>44649</v>
      </c>
      <c r="C85" s="16" t="s">
        <v>563</v>
      </c>
      <c r="D85">
        <v>2022</v>
      </c>
      <c r="E85" s="16" t="s">
        <v>210</v>
      </c>
      <c r="F85" s="16" t="s">
        <v>216</v>
      </c>
      <c r="G85" s="16" t="s">
        <v>221</v>
      </c>
      <c r="H85" s="16" t="s">
        <v>300</v>
      </c>
      <c r="I85">
        <v>7</v>
      </c>
      <c r="J85">
        <v>233</v>
      </c>
      <c r="K85">
        <v>1631</v>
      </c>
      <c r="L85">
        <v>314.5</v>
      </c>
      <c r="M85">
        <v>0.19282648681790299</v>
      </c>
    </row>
    <row r="86" spans="1:13" x14ac:dyDescent="0.25">
      <c r="A86" s="16" t="s">
        <v>94</v>
      </c>
      <c r="B86" s="17">
        <v>45202</v>
      </c>
      <c r="C86" s="16" t="s">
        <v>557</v>
      </c>
      <c r="D86">
        <v>2023</v>
      </c>
      <c r="E86" s="16" t="s">
        <v>211</v>
      </c>
      <c r="F86" s="16" t="s">
        <v>216</v>
      </c>
      <c r="G86" s="16" t="s">
        <v>219</v>
      </c>
      <c r="H86" s="16" t="s">
        <v>301</v>
      </c>
      <c r="I86">
        <v>7</v>
      </c>
      <c r="J86">
        <v>136</v>
      </c>
      <c r="K86">
        <v>952</v>
      </c>
      <c r="L86">
        <v>231.11</v>
      </c>
      <c r="M86">
        <v>0.24276260504201699</v>
      </c>
    </row>
    <row r="87" spans="1:13" x14ac:dyDescent="0.25">
      <c r="A87" s="16" t="s">
        <v>95</v>
      </c>
      <c r="B87" s="17">
        <v>45129</v>
      </c>
      <c r="C87" s="16" t="s">
        <v>559</v>
      </c>
      <c r="D87">
        <v>2023</v>
      </c>
      <c r="E87" s="16" t="s">
        <v>210</v>
      </c>
      <c r="F87" s="16" t="s">
        <v>216</v>
      </c>
      <c r="G87" s="16" t="s">
        <v>219</v>
      </c>
      <c r="H87" s="16" t="s">
        <v>302</v>
      </c>
      <c r="I87">
        <v>7</v>
      </c>
      <c r="J87">
        <v>453</v>
      </c>
      <c r="K87">
        <v>3171</v>
      </c>
      <c r="L87">
        <v>775.16</v>
      </c>
      <c r="M87">
        <v>0.24445285398927799</v>
      </c>
    </row>
    <row r="88" spans="1:13" x14ac:dyDescent="0.25">
      <c r="A88" s="16" t="s">
        <v>96</v>
      </c>
      <c r="B88" s="17">
        <v>44881</v>
      </c>
      <c r="C88" s="16" t="s">
        <v>554</v>
      </c>
      <c r="D88">
        <v>2022</v>
      </c>
      <c r="E88" s="16" t="s">
        <v>213</v>
      </c>
      <c r="F88" s="16" t="s">
        <v>215</v>
      </c>
      <c r="G88" s="16" t="s">
        <v>222</v>
      </c>
      <c r="H88" s="16" t="s">
        <v>303</v>
      </c>
      <c r="I88">
        <v>6</v>
      </c>
      <c r="J88">
        <v>221</v>
      </c>
      <c r="K88">
        <v>1326</v>
      </c>
      <c r="L88">
        <v>315.83999999999997</v>
      </c>
      <c r="M88">
        <v>0.238190045248869</v>
      </c>
    </row>
    <row r="89" spans="1:13" x14ac:dyDescent="0.25">
      <c r="A89" s="16" t="s">
        <v>97</v>
      </c>
      <c r="B89" s="17">
        <v>44936</v>
      </c>
      <c r="C89" s="16" t="s">
        <v>552</v>
      </c>
      <c r="D89">
        <v>2023</v>
      </c>
      <c r="E89" s="16" t="s">
        <v>212</v>
      </c>
      <c r="F89" s="16" t="s">
        <v>216</v>
      </c>
      <c r="G89" s="16" t="s">
        <v>223</v>
      </c>
      <c r="H89" s="16" t="s">
        <v>304</v>
      </c>
      <c r="I89">
        <v>2</v>
      </c>
      <c r="J89">
        <v>345</v>
      </c>
      <c r="K89">
        <v>690</v>
      </c>
      <c r="L89">
        <v>130.34</v>
      </c>
      <c r="M89">
        <v>0.18889855072463799</v>
      </c>
    </row>
    <row r="90" spans="1:13" x14ac:dyDescent="0.25">
      <c r="A90" s="16" t="s">
        <v>98</v>
      </c>
      <c r="B90" s="17">
        <v>45193</v>
      </c>
      <c r="C90" s="16" t="s">
        <v>562</v>
      </c>
      <c r="D90">
        <v>2023</v>
      </c>
      <c r="E90" s="16" t="s">
        <v>212</v>
      </c>
      <c r="F90" s="16" t="s">
        <v>215</v>
      </c>
      <c r="G90" s="16" t="s">
        <v>218</v>
      </c>
      <c r="H90" s="16" t="s">
        <v>305</v>
      </c>
      <c r="I90">
        <v>9</v>
      </c>
      <c r="J90">
        <v>86</v>
      </c>
      <c r="K90">
        <v>774</v>
      </c>
      <c r="L90">
        <v>197.76</v>
      </c>
      <c r="M90">
        <v>0.25550387596899199</v>
      </c>
    </row>
    <row r="91" spans="1:13" x14ac:dyDescent="0.25">
      <c r="A91" s="16" t="s">
        <v>99</v>
      </c>
      <c r="B91" s="17">
        <v>45144</v>
      </c>
      <c r="C91" s="16" t="s">
        <v>555</v>
      </c>
      <c r="D91">
        <v>2023</v>
      </c>
      <c r="E91" s="16" t="s">
        <v>211</v>
      </c>
      <c r="F91" s="16" t="s">
        <v>216</v>
      </c>
      <c r="G91" s="16" t="s">
        <v>223</v>
      </c>
      <c r="H91" s="16" t="s">
        <v>306</v>
      </c>
      <c r="I91">
        <v>7</v>
      </c>
      <c r="J91">
        <v>485</v>
      </c>
      <c r="K91">
        <v>3395</v>
      </c>
      <c r="L91">
        <v>986.7</v>
      </c>
      <c r="M91">
        <v>0.29063328424153201</v>
      </c>
    </row>
    <row r="92" spans="1:13" x14ac:dyDescent="0.25">
      <c r="A92" s="16" t="s">
        <v>100</v>
      </c>
      <c r="B92" s="17">
        <v>45133</v>
      </c>
      <c r="C92" s="16" t="s">
        <v>559</v>
      </c>
      <c r="D92">
        <v>2023</v>
      </c>
      <c r="E92" s="16" t="s">
        <v>210</v>
      </c>
      <c r="F92" s="16" t="s">
        <v>214</v>
      </c>
      <c r="G92" s="16" t="s">
        <v>224</v>
      </c>
      <c r="H92" s="16" t="s">
        <v>307</v>
      </c>
      <c r="I92">
        <v>2</v>
      </c>
      <c r="J92">
        <v>47</v>
      </c>
      <c r="K92">
        <v>94</v>
      </c>
      <c r="L92">
        <v>21.78</v>
      </c>
      <c r="M92">
        <v>0.23170212765957399</v>
      </c>
    </row>
    <row r="93" spans="1:13" x14ac:dyDescent="0.25">
      <c r="A93" s="16" t="s">
        <v>101</v>
      </c>
      <c r="B93" s="17">
        <v>44600</v>
      </c>
      <c r="C93" s="16" t="s">
        <v>556</v>
      </c>
      <c r="D93">
        <v>2022</v>
      </c>
      <c r="E93" s="16" t="s">
        <v>211</v>
      </c>
      <c r="F93" s="16" t="s">
        <v>214</v>
      </c>
      <c r="G93" s="16" t="s">
        <v>217</v>
      </c>
      <c r="H93" s="16" t="s">
        <v>308</v>
      </c>
      <c r="I93">
        <v>4</v>
      </c>
      <c r="J93">
        <v>118</v>
      </c>
      <c r="K93">
        <v>472</v>
      </c>
      <c r="L93">
        <v>100.18</v>
      </c>
      <c r="M93">
        <v>0.21224576271186399</v>
      </c>
    </row>
    <row r="94" spans="1:13" x14ac:dyDescent="0.25">
      <c r="A94" s="16" t="s">
        <v>102</v>
      </c>
      <c r="B94" s="17">
        <v>44907</v>
      </c>
      <c r="C94" s="16" t="s">
        <v>558</v>
      </c>
      <c r="D94">
        <v>2022</v>
      </c>
      <c r="E94" s="16" t="s">
        <v>212</v>
      </c>
      <c r="F94" s="16" t="s">
        <v>215</v>
      </c>
      <c r="G94" s="16" t="s">
        <v>222</v>
      </c>
      <c r="H94" s="16" t="s">
        <v>309</v>
      </c>
      <c r="I94">
        <v>7</v>
      </c>
      <c r="J94">
        <v>497</v>
      </c>
      <c r="K94">
        <v>3479</v>
      </c>
      <c r="L94">
        <v>517.74</v>
      </c>
      <c r="M94">
        <v>0.148818626041966</v>
      </c>
    </row>
    <row r="95" spans="1:13" x14ac:dyDescent="0.25">
      <c r="A95" s="16" t="s">
        <v>103</v>
      </c>
      <c r="B95" s="17">
        <v>44620</v>
      </c>
      <c r="C95" s="16" t="s">
        <v>556</v>
      </c>
      <c r="D95">
        <v>2022</v>
      </c>
      <c r="E95" s="16" t="s">
        <v>212</v>
      </c>
      <c r="F95" s="16" t="s">
        <v>215</v>
      </c>
      <c r="G95" s="16" t="s">
        <v>222</v>
      </c>
      <c r="H95" s="16" t="s">
        <v>310</v>
      </c>
      <c r="I95">
        <v>5</v>
      </c>
      <c r="J95">
        <v>320</v>
      </c>
      <c r="K95">
        <v>1600</v>
      </c>
      <c r="L95">
        <v>451.78</v>
      </c>
      <c r="M95">
        <v>0.28236250000000002</v>
      </c>
    </row>
    <row r="96" spans="1:13" x14ac:dyDescent="0.25">
      <c r="A96" s="16" t="s">
        <v>104</v>
      </c>
      <c r="B96" s="17">
        <v>44616</v>
      </c>
      <c r="C96" s="16" t="s">
        <v>556</v>
      </c>
      <c r="D96">
        <v>2022</v>
      </c>
      <c r="E96" s="16" t="s">
        <v>211</v>
      </c>
      <c r="F96" s="16" t="s">
        <v>216</v>
      </c>
      <c r="G96" s="16" t="s">
        <v>219</v>
      </c>
      <c r="H96" s="16" t="s">
        <v>249</v>
      </c>
      <c r="I96">
        <v>10</v>
      </c>
      <c r="J96">
        <v>337</v>
      </c>
      <c r="K96">
        <v>3370</v>
      </c>
      <c r="L96">
        <v>477.33</v>
      </c>
      <c r="M96">
        <v>0.14164094955489601</v>
      </c>
    </row>
    <row r="97" spans="1:13" x14ac:dyDescent="0.25">
      <c r="A97" s="16" t="s">
        <v>105</v>
      </c>
      <c r="B97" s="17">
        <v>44762</v>
      </c>
      <c r="C97" s="16" t="s">
        <v>559</v>
      </c>
      <c r="D97">
        <v>2022</v>
      </c>
      <c r="E97" s="16" t="s">
        <v>211</v>
      </c>
      <c r="F97" s="16" t="s">
        <v>214</v>
      </c>
      <c r="G97" s="16" t="s">
        <v>224</v>
      </c>
      <c r="H97" s="16" t="s">
        <v>311</v>
      </c>
      <c r="I97">
        <v>3</v>
      </c>
      <c r="J97">
        <v>259</v>
      </c>
      <c r="K97">
        <v>777</v>
      </c>
      <c r="L97">
        <v>224.07</v>
      </c>
      <c r="M97">
        <v>0.28837837837837799</v>
      </c>
    </row>
    <row r="98" spans="1:13" x14ac:dyDescent="0.25">
      <c r="A98" s="16" t="s">
        <v>106</v>
      </c>
      <c r="B98" s="17">
        <v>44757</v>
      </c>
      <c r="C98" s="16" t="s">
        <v>559</v>
      </c>
      <c r="D98">
        <v>2022</v>
      </c>
      <c r="E98" s="16" t="s">
        <v>212</v>
      </c>
      <c r="F98" s="16" t="s">
        <v>216</v>
      </c>
      <c r="G98" s="16" t="s">
        <v>221</v>
      </c>
      <c r="H98" s="16" t="s">
        <v>248</v>
      </c>
      <c r="I98">
        <v>6</v>
      </c>
      <c r="J98">
        <v>331</v>
      </c>
      <c r="K98">
        <v>1986</v>
      </c>
      <c r="L98">
        <v>444.81</v>
      </c>
      <c r="M98">
        <v>0.22397280966767399</v>
      </c>
    </row>
    <row r="99" spans="1:13" x14ac:dyDescent="0.25">
      <c r="A99" s="16" t="s">
        <v>107</v>
      </c>
      <c r="B99" s="17">
        <v>45229</v>
      </c>
      <c r="C99" s="16" t="s">
        <v>557</v>
      </c>
      <c r="D99">
        <v>2023</v>
      </c>
      <c r="E99" s="16" t="s">
        <v>213</v>
      </c>
      <c r="F99" s="16" t="s">
        <v>215</v>
      </c>
      <c r="G99" s="16" t="s">
        <v>225</v>
      </c>
      <c r="H99" s="16" t="s">
        <v>267</v>
      </c>
      <c r="I99">
        <v>9</v>
      </c>
      <c r="J99">
        <v>87</v>
      </c>
      <c r="K99">
        <v>783</v>
      </c>
      <c r="L99">
        <v>221.95</v>
      </c>
      <c r="M99">
        <v>0.283461047254151</v>
      </c>
    </row>
    <row r="100" spans="1:13" x14ac:dyDescent="0.25">
      <c r="A100" s="16" t="s">
        <v>108</v>
      </c>
      <c r="B100" s="17">
        <v>45138</v>
      </c>
      <c r="C100" s="16" t="s">
        <v>559</v>
      </c>
      <c r="D100">
        <v>2023</v>
      </c>
      <c r="E100" s="16" t="s">
        <v>213</v>
      </c>
      <c r="F100" s="16" t="s">
        <v>214</v>
      </c>
      <c r="G100" s="16" t="s">
        <v>224</v>
      </c>
      <c r="H100" s="16" t="s">
        <v>312</v>
      </c>
      <c r="I100">
        <v>6</v>
      </c>
      <c r="J100">
        <v>474</v>
      </c>
      <c r="K100">
        <v>2844</v>
      </c>
      <c r="L100">
        <v>513.91</v>
      </c>
      <c r="M100">
        <v>0.18069971870604801</v>
      </c>
    </row>
    <row r="101" spans="1:13" x14ac:dyDescent="0.25">
      <c r="A101" s="16" t="s">
        <v>109</v>
      </c>
      <c r="B101" s="17">
        <v>44888</v>
      </c>
      <c r="C101" s="16" t="s">
        <v>554</v>
      </c>
      <c r="D101">
        <v>2022</v>
      </c>
      <c r="E101" s="16" t="s">
        <v>211</v>
      </c>
      <c r="F101" s="16" t="s">
        <v>214</v>
      </c>
      <c r="G101" s="16" t="s">
        <v>220</v>
      </c>
      <c r="H101" s="16" t="s">
        <v>313</v>
      </c>
      <c r="I101">
        <v>6</v>
      </c>
      <c r="J101">
        <v>293</v>
      </c>
      <c r="K101">
        <v>1758</v>
      </c>
      <c r="L101">
        <v>510.18</v>
      </c>
      <c r="M101">
        <v>0.29020477815699702</v>
      </c>
    </row>
    <row r="102" spans="1:13" x14ac:dyDescent="0.25">
      <c r="A102" s="16" t="s">
        <v>110</v>
      </c>
      <c r="B102" s="17">
        <v>44629</v>
      </c>
      <c r="C102" s="16" t="s">
        <v>563</v>
      </c>
      <c r="D102">
        <v>2022</v>
      </c>
      <c r="E102" s="16" t="s">
        <v>211</v>
      </c>
      <c r="F102" s="16" t="s">
        <v>215</v>
      </c>
      <c r="G102" s="16" t="s">
        <v>225</v>
      </c>
      <c r="H102" s="16" t="s">
        <v>314</v>
      </c>
      <c r="I102">
        <v>4</v>
      </c>
      <c r="J102">
        <v>407</v>
      </c>
      <c r="K102">
        <v>1628</v>
      </c>
      <c r="L102">
        <v>430.78</v>
      </c>
      <c r="M102">
        <v>0.26460687960688001</v>
      </c>
    </row>
    <row r="103" spans="1:13" x14ac:dyDescent="0.25">
      <c r="A103" s="16" t="s">
        <v>111</v>
      </c>
      <c r="B103" s="17">
        <v>44644</v>
      </c>
      <c r="C103" s="16" t="s">
        <v>563</v>
      </c>
      <c r="D103">
        <v>2022</v>
      </c>
      <c r="E103" s="16" t="s">
        <v>211</v>
      </c>
      <c r="F103" s="16" t="s">
        <v>214</v>
      </c>
      <c r="G103" s="16" t="s">
        <v>224</v>
      </c>
      <c r="H103" s="16" t="s">
        <v>315</v>
      </c>
      <c r="I103">
        <v>6</v>
      </c>
      <c r="J103">
        <v>455</v>
      </c>
      <c r="K103">
        <v>2730</v>
      </c>
      <c r="L103">
        <v>539.9</v>
      </c>
      <c r="M103">
        <v>0.197765567765568</v>
      </c>
    </row>
    <row r="104" spans="1:13" x14ac:dyDescent="0.25">
      <c r="A104" s="16" t="s">
        <v>112</v>
      </c>
      <c r="B104" s="17">
        <v>44972</v>
      </c>
      <c r="C104" s="16" t="s">
        <v>556</v>
      </c>
      <c r="D104">
        <v>2023</v>
      </c>
      <c r="E104" s="16" t="s">
        <v>210</v>
      </c>
      <c r="F104" s="16" t="s">
        <v>214</v>
      </c>
      <c r="G104" s="16" t="s">
        <v>217</v>
      </c>
      <c r="H104" s="16" t="s">
        <v>316</v>
      </c>
      <c r="I104">
        <v>1</v>
      </c>
      <c r="J104">
        <v>424</v>
      </c>
      <c r="K104">
        <v>424</v>
      </c>
      <c r="L104">
        <v>113.82</v>
      </c>
      <c r="M104">
        <v>0.268443396226415</v>
      </c>
    </row>
    <row r="105" spans="1:13" x14ac:dyDescent="0.25">
      <c r="A105" s="16" t="s">
        <v>113</v>
      </c>
      <c r="B105" s="17">
        <v>44698</v>
      </c>
      <c r="C105" s="16" t="s">
        <v>553</v>
      </c>
      <c r="D105">
        <v>2022</v>
      </c>
      <c r="E105" s="16" t="s">
        <v>212</v>
      </c>
      <c r="F105" s="16" t="s">
        <v>216</v>
      </c>
      <c r="G105" s="16" t="s">
        <v>219</v>
      </c>
      <c r="H105" s="16" t="s">
        <v>317</v>
      </c>
      <c r="I105">
        <v>5</v>
      </c>
      <c r="J105">
        <v>171</v>
      </c>
      <c r="K105">
        <v>855</v>
      </c>
      <c r="L105">
        <v>104.14</v>
      </c>
      <c r="M105">
        <v>0.12180116959064299</v>
      </c>
    </row>
    <row r="106" spans="1:13" x14ac:dyDescent="0.25">
      <c r="A106" s="16" t="s">
        <v>114</v>
      </c>
      <c r="B106" s="17">
        <v>44713</v>
      </c>
      <c r="C106" s="16" t="s">
        <v>560</v>
      </c>
      <c r="D106">
        <v>2022</v>
      </c>
      <c r="E106" s="16" t="s">
        <v>210</v>
      </c>
      <c r="F106" s="16" t="s">
        <v>214</v>
      </c>
      <c r="G106" s="16" t="s">
        <v>220</v>
      </c>
      <c r="H106" s="16" t="s">
        <v>318</v>
      </c>
      <c r="I106">
        <v>10</v>
      </c>
      <c r="J106">
        <v>37</v>
      </c>
      <c r="K106">
        <v>370</v>
      </c>
      <c r="L106">
        <v>50.08</v>
      </c>
      <c r="M106">
        <v>0.13535135135135101</v>
      </c>
    </row>
    <row r="107" spans="1:13" x14ac:dyDescent="0.25">
      <c r="A107" s="16" t="s">
        <v>115</v>
      </c>
      <c r="B107" s="17">
        <v>45021</v>
      </c>
      <c r="C107" s="16" t="s">
        <v>561</v>
      </c>
      <c r="D107">
        <v>2023</v>
      </c>
      <c r="E107" s="16" t="s">
        <v>210</v>
      </c>
      <c r="F107" s="16" t="s">
        <v>216</v>
      </c>
      <c r="G107" s="16" t="s">
        <v>223</v>
      </c>
      <c r="H107" s="16" t="s">
        <v>319</v>
      </c>
      <c r="I107">
        <v>9</v>
      </c>
      <c r="J107">
        <v>143</v>
      </c>
      <c r="K107">
        <v>1287</v>
      </c>
      <c r="L107">
        <v>341.34</v>
      </c>
      <c r="M107">
        <v>0.26522144522144497</v>
      </c>
    </row>
    <row r="108" spans="1:13" x14ac:dyDescent="0.25">
      <c r="A108" s="16" t="s">
        <v>116</v>
      </c>
      <c r="B108" s="17">
        <v>44978</v>
      </c>
      <c r="C108" s="16" t="s">
        <v>556</v>
      </c>
      <c r="D108">
        <v>2023</v>
      </c>
      <c r="E108" s="16" t="s">
        <v>210</v>
      </c>
      <c r="F108" s="16" t="s">
        <v>216</v>
      </c>
      <c r="G108" s="16" t="s">
        <v>221</v>
      </c>
      <c r="H108" s="16" t="s">
        <v>231</v>
      </c>
      <c r="I108">
        <v>9</v>
      </c>
      <c r="J108">
        <v>216</v>
      </c>
      <c r="K108">
        <v>1944</v>
      </c>
      <c r="L108">
        <v>413.36</v>
      </c>
      <c r="M108">
        <v>0.21263374485596701</v>
      </c>
    </row>
    <row r="109" spans="1:13" x14ac:dyDescent="0.25">
      <c r="A109" s="16" t="s">
        <v>117</v>
      </c>
      <c r="B109" s="17">
        <v>45197</v>
      </c>
      <c r="C109" s="16" t="s">
        <v>562</v>
      </c>
      <c r="D109">
        <v>2023</v>
      </c>
      <c r="E109" s="16" t="s">
        <v>212</v>
      </c>
      <c r="F109" s="16" t="s">
        <v>215</v>
      </c>
      <c r="G109" s="16" t="s">
        <v>222</v>
      </c>
      <c r="H109" s="16" t="s">
        <v>320</v>
      </c>
      <c r="I109">
        <v>2</v>
      </c>
      <c r="J109">
        <v>194</v>
      </c>
      <c r="K109">
        <v>388</v>
      </c>
      <c r="L109">
        <v>70.37</v>
      </c>
      <c r="M109">
        <v>0.181365979381443</v>
      </c>
    </row>
    <row r="110" spans="1:13" x14ac:dyDescent="0.25">
      <c r="A110" s="16" t="s">
        <v>118</v>
      </c>
      <c r="B110" s="17">
        <v>45030</v>
      </c>
      <c r="C110" s="16" t="s">
        <v>561</v>
      </c>
      <c r="D110">
        <v>2023</v>
      </c>
      <c r="E110" s="16" t="s">
        <v>210</v>
      </c>
      <c r="F110" s="16" t="s">
        <v>214</v>
      </c>
      <c r="G110" s="16" t="s">
        <v>220</v>
      </c>
      <c r="H110" s="16" t="s">
        <v>313</v>
      </c>
      <c r="I110">
        <v>5</v>
      </c>
      <c r="J110">
        <v>118</v>
      </c>
      <c r="K110">
        <v>590</v>
      </c>
      <c r="L110">
        <v>161.69999999999999</v>
      </c>
      <c r="M110">
        <v>0.274067796610169</v>
      </c>
    </row>
    <row r="111" spans="1:13" x14ac:dyDescent="0.25">
      <c r="A111" s="16" t="s">
        <v>119</v>
      </c>
      <c r="B111" s="17">
        <v>44602</v>
      </c>
      <c r="C111" s="16" t="s">
        <v>556</v>
      </c>
      <c r="D111">
        <v>2022</v>
      </c>
      <c r="E111" s="16" t="s">
        <v>210</v>
      </c>
      <c r="F111" s="16" t="s">
        <v>214</v>
      </c>
      <c r="G111" s="16" t="s">
        <v>217</v>
      </c>
      <c r="H111" s="16" t="s">
        <v>321</v>
      </c>
      <c r="I111">
        <v>5</v>
      </c>
      <c r="J111">
        <v>84</v>
      </c>
      <c r="K111">
        <v>420</v>
      </c>
      <c r="L111">
        <v>65.349999999999994</v>
      </c>
      <c r="M111">
        <v>0.15559523809523801</v>
      </c>
    </row>
    <row r="112" spans="1:13" x14ac:dyDescent="0.25">
      <c r="A112" s="16" t="s">
        <v>120</v>
      </c>
      <c r="B112" s="17">
        <v>45182</v>
      </c>
      <c r="C112" s="16" t="s">
        <v>562</v>
      </c>
      <c r="D112">
        <v>2023</v>
      </c>
      <c r="E112" s="16" t="s">
        <v>213</v>
      </c>
      <c r="F112" s="16" t="s">
        <v>216</v>
      </c>
      <c r="G112" s="16" t="s">
        <v>221</v>
      </c>
      <c r="H112" s="16" t="s">
        <v>322</v>
      </c>
      <c r="I112">
        <v>9</v>
      </c>
      <c r="J112">
        <v>416</v>
      </c>
      <c r="K112">
        <v>3744</v>
      </c>
      <c r="L112">
        <v>693.24</v>
      </c>
      <c r="M112">
        <v>0.18516025641025599</v>
      </c>
    </row>
    <row r="113" spans="1:13" x14ac:dyDescent="0.25">
      <c r="A113" s="16" t="s">
        <v>121</v>
      </c>
      <c r="B113" s="17">
        <v>44960</v>
      </c>
      <c r="C113" s="16" t="s">
        <v>556</v>
      </c>
      <c r="D113">
        <v>2023</v>
      </c>
      <c r="E113" s="16" t="s">
        <v>211</v>
      </c>
      <c r="F113" s="16" t="s">
        <v>215</v>
      </c>
      <c r="G113" s="16" t="s">
        <v>222</v>
      </c>
      <c r="H113" s="16" t="s">
        <v>295</v>
      </c>
      <c r="I113">
        <v>6</v>
      </c>
      <c r="J113">
        <v>62</v>
      </c>
      <c r="K113">
        <v>372</v>
      </c>
      <c r="L113">
        <v>51.63</v>
      </c>
      <c r="M113">
        <v>0.138790322580645</v>
      </c>
    </row>
    <row r="114" spans="1:13" x14ac:dyDescent="0.25">
      <c r="A114" s="16" t="s">
        <v>122</v>
      </c>
      <c r="B114" s="17">
        <v>44793</v>
      </c>
      <c r="C114" s="16" t="s">
        <v>555</v>
      </c>
      <c r="D114">
        <v>2022</v>
      </c>
      <c r="E114" s="16" t="s">
        <v>213</v>
      </c>
      <c r="F114" s="16" t="s">
        <v>214</v>
      </c>
      <c r="G114" s="16" t="s">
        <v>217</v>
      </c>
      <c r="H114" s="16" t="s">
        <v>256</v>
      </c>
      <c r="I114">
        <v>7</v>
      </c>
      <c r="J114">
        <v>166</v>
      </c>
      <c r="K114">
        <v>1162</v>
      </c>
      <c r="L114">
        <v>223.68</v>
      </c>
      <c r="M114">
        <v>0.19249569707401001</v>
      </c>
    </row>
    <row r="115" spans="1:13" x14ac:dyDescent="0.25">
      <c r="A115" s="16" t="s">
        <v>123</v>
      </c>
      <c r="B115" s="17">
        <v>44731</v>
      </c>
      <c r="C115" s="16" t="s">
        <v>560</v>
      </c>
      <c r="D115">
        <v>2022</v>
      </c>
      <c r="E115" s="16" t="s">
        <v>210</v>
      </c>
      <c r="F115" s="16" t="s">
        <v>214</v>
      </c>
      <c r="G115" s="16" t="s">
        <v>217</v>
      </c>
      <c r="H115" s="16" t="s">
        <v>256</v>
      </c>
      <c r="I115">
        <v>3</v>
      </c>
      <c r="J115">
        <v>123</v>
      </c>
      <c r="K115">
        <v>369</v>
      </c>
      <c r="L115">
        <v>47.82</v>
      </c>
      <c r="M115">
        <v>0.129593495934959</v>
      </c>
    </row>
    <row r="116" spans="1:13" x14ac:dyDescent="0.25">
      <c r="A116" s="16" t="s">
        <v>124</v>
      </c>
      <c r="B116" s="17">
        <v>44736</v>
      </c>
      <c r="C116" s="16" t="s">
        <v>560</v>
      </c>
      <c r="D116">
        <v>2022</v>
      </c>
      <c r="E116" s="16" t="s">
        <v>212</v>
      </c>
      <c r="F116" s="16" t="s">
        <v>214</v>
      </c>
      <c r="G116" s="16" t="s">
        <v>217</v>
      </c>
      <c r="H116" s="16" t="s">
        <v>257</v>
      </c>
      <c r="I116">
        <v>4</v>
      </c>
      <c r="J116">
        <v>159</v>
      </c>
      <c r="K116">
        <v>636</v>
      </c>
      <c r="L116">
        <v>155.9</v>
      </c>
      <c r="M116">
        <v>0.24512578616352201</v>
      </c>
    </row>
    <row r="117" spans="1:13" x14ac:dyDescent="0.25">
      <c r="A117" s="16" t="s">
        <v>125</v>
      </c>
      <c r="B117" s="17">
        <v>44627</v>
      </c>
      <c r="C117" s="16" t="s">
        <v>563</v>
      </c>
      <c r="D117">
        <v>2022</v>
      </c>
      <c r="E117" s="16" t="s">
        <v>213</v>
      </c>
      <c r="F117" s="16" t="s">
        <v>215</v>
      </c>
      <c r="G117" s="16" t="s">
        <v>225</v>
      </c>
      <c r="H117" s="16" t="s">
        <v>323</v>
      </c>
      <c r="I117">
        <v>4</v>
      </c>
      <c r="J117">
        <v>433</v>
      </c>
      <c r="K117">
        <v>1732</v>
      </c>
      <c r="L117">
        <v>280.52</v>
      </c>
      <c r="M117">
        <v>0.16196304849884499</v>
      </c>
    </row>
    <row r="118" spans="1:13" x14ac:dyDescent="0.25">
      <c r="A118" s="16" t="s">
        <v>126</v>
      </c>
      <c r="B118" s="17">
        <v>44739</v>
      </c>
      <c r="C118" s="16" t="s">
        <v>560</v>
      </c>
      <c r="D118">
        <v>2022</v>
      </c>
      <c r="E118" s="16" t="s">
        <v>211</v>
      </c>
      <c r="F118" s="16" t="s">
        <v>215</v>
      </c>
      <c r="G118" s="16" t="s">
        <v>225</v>
      </c>
      <c r="H118" s="16" t="s">
        <v>324</v>
      </c>
      <c r="I118">
        <v>8</v>
      </c>
      <c r="J118">
        <v>241</v>
      </c>
      <c r="K118">
        <v>1928</v>
      </c>
      <c r="L118">
        <v>307.79000000000002</v>
      </c>
      <c r="M118">
        <v>0.15964211618257301</v>
      </c>
    </row>
    <row r="119" spans="1:13" x14ac:dyDescent="0.25">
      <c r="A119" s="16" t="s">
        <v>127</v>
      </c>
      <c r="B119" s="17">
        <v>44853</v>
      </c>
      <c r="C119" s="16" t="s">
        <v>557</v>
      </c>
      <c r="D119">
        <v>2022</v>
      </c>
      <c r="E119" s="16" t="s">
        <v>210</v>
      </c>
      <c r="F119" s="16" t="s">
        <v>214</v>
      </c>
      <c r="G119" s="16" t="s">
        <v>220</v>
      </c>
      <c r="H119" s="16" t="s">
        <v>325</v>
      </c>
      <c r="I119">
        <v>8</v>
      </c>
      <c r="J119">
        <v>299</v>
      </c>
      <c r="K119">
        <v>2392</v>
      </c>
      <c r="L119">
        <v>397.22</v>
      </c>
      <c r="M119">
        <v>0.16606187290969901</v>
      </c>
    </row>
    <row r="120" spans="1:13" x14ac:dyDescent="0.25">
      <c r="A120" s="16" t="s">
        <v>128</v>
      </c>
      <c r="B120" s="17">
        <v>44711</v>
      </c>
      <c r="C120" s="16" t="s">
        <v>553</v>
      </c>
      <c r="D120">
        <v>2022</v>
      </c>
      <c r="E120" s="16" t="s">
        <v>210</v>
      </c>
      <c r="F120" s="16" t="s">
        <v>214</v>
      </c>
      <c r="G120" s="16" t="s">
        <v>220</v>
      </c>
      <c r="H120" s="16" t="s">
        <v>230</v>
      </c>
      <c r="I120">
        <v>4</v>
      </c>
      <c r="J120">
        <v>482</v>
      </c>
      <c r="K120">
        <v>1928</v>
      </c>
      <c r="L120">
        <v>528.1</v>
      </c>
      <c r="M120">
        <v>0.27391078838174299</v>
      </c>
    </row>
    <row r="121" spans="1:13" x14ac:dyDescent="0.25">
      <c r="A121" s="16" t="s">
        <v>129</v>
      </c>
      <c r="B121" s="17">
        <v>44628</v>
      </c>
      <c r="C121" s="16" t="s">
        <v>563</v>
      </c>
      <c r="D121">
        <v>2022</v>
      </c>
      <c r="E121" s="16" t="s">
        <v>210</v>
      </c>
      <c r="F121" s="16" t="s">
        <v>215</v>
      </c>
      <c r="G121" s="16" t="s">
        <v>225</v>
      </c>
      <c r="H121" s="16" t="s">
        <v>326</v>
      </c>
      <c r="I121">
        <v>1</v>
      </c>
      <c r="J121">
        <v>220</v>
      </c>
      <c r="K121">
        <v>220</v>
      </c>
      <c r="L121">
        <v>64.58</v>
      </c>
      <c r="M121">
        <v>0.293545454545455</v>
      </c>
    </row>
    <row r="122" spans="1:13" x14ac:dyDescent="0.25">
      <c r="A122" s="16" t="s">
        <v>130</v>
      </c>
      <c r="B122" s="17">
        <v>44611</v>
      </c>
      <c r="C122" s="16" t="s">
        <v>556</v>
      </c>
      <c r="D122">
        <v>2022</v>
      </c>
      <c r="E122" s="16" t="s">
        <v>210</v>
      </c>
      <c r="F122" s="16" t="s">
        <v>214</v>
      </c>
      <c r="G122" s="16" t="s">
        <v>217</v>
      </c>
      <c r="H122" s="16" t="s">
        <v>327</v>
      </c>
      <c r="I122">
        <v>9</v>
      </c>
      <c r="J122">
        <v>252</v>
      </c>
      <c r="K122">
        <v>2268</v>
      </c>
      <c r="L122">
        <v>347.84</v>
      </c>
      <c r="M122">
        <v>0.15336860670194</v>
      </c>
    </row>
    <row r="123" spans="1:13" x14ac:dyDescent="0.25">
      <c r="A123" s="16" t="s">
        <v>131</v>
      </c>
      <c r="B123" s="17">
        <v>44947</v>
      </c>
      <c r="C123" s="16" t="s">
        <v>552</v>
      </c>
      <c r="D123">
        <v>2023</v>
      </c>
      <c r="E123" s="16" t="s">
        <v>213</v>
      </c>
      <c r="F123" s="16" t="s">
        <v>216</v>
      </c>
      <c r="G123" s="16" t="s">
        <v>223</v>
      </c>
      <c r="H123" s="16" t="s">
        <v>328</v>
      </c>
      <c r="I123">
        <v>2</v>
      </c>
      <c r="J123">
        <v>286</v>
      </c>
      <c r="K123">
        <v>572</v>
      </c>
      <c r="L123">
        <v>154.32</v>
      </c>
      <c r="M123">
        <v>0.26979020979021001</v>
      </c>
    </row>
    <row r="124" spans="1:13" x14ac:dyDescent="0.25">
      <c r="A124" s="16" t="s">
        <v>132</v>
      </c>
      <c r="B124" s="17">
        <v>44661</v>
      </c>
      <c r="C124" s="16" t="s">
        <v>561</v>
      </c>
      <c r="D124">
        <v>2022</v>
      </c>
      <c r="E124" s="16" t="s">
        <v>212</v>
      </c>
      <c r="F124" s="16" t="s">
        <v>216</v>
      </c>
      <c r="G124" s="16" t="s">
        <v>223</v>
      </c>
      <c r="H124" s="16" t="s">
        <v>329</v>
      </c>
      <c r="I124">
        <v>10</v>
      </c>
      <c r="J124">
        <v>357</v>
      </c>
      <c r="K124">
        <v>3570</v>
      </c>
      <c r="L124">
        <v>853.38</v>
      </c>
      <c r="M124">
        <v>0.23904201680672299</v>
      </c>
    </row>
    <row r="125" spans="1:13" x14ac:dyDescent="0.25">
      <c r="A125" s="16" t="s">
        <v>133</v>
      </c>
      <c r="B125" s="17">
        <v>44924</v>
      </c>
      <c r="C125" s="16" t="s">
        <v>558</v>
      </c>
      <c r="D125">
        <v>2022</v>
      </c>
      <c r="E125" s="16" t="s">
        <v>213</v>
      </c>
      <c r="F125" s="16" t="s">
        <v>216</v>
      </c>
      <c r="G125" s="16" t="s">
        <v>221</v>
      </c>
      <c r="H125" s="16" t="s">
        <v>330</v>
      </c>
      <c r="I125">
        <v>9</v>
      </c>
      <c r="J125">
        <v>212</v>
      </c>
      <c r="K125">
        <v>1908</v>
      </c>
      <c r="L125">
        <v>382.59</v>
      </c>
      <c r="M125">
        <v>0.200518867924528</v>
      </c>
    </row>
    <row r="126" spans="1:13" x14ac:dyDescent="0.25">
      <c r="A126" s="16" t="s">
        <v>134</v>
      </c>
      <c r="B126" s="17">
        <v>45198</v>
      </c>
      <c r="C126" s="16" t="s">
        <v>562</v>
      </c>
      <c r="D126">
        <v>2023</v>
      </c>
      <c r="E126" s="16" t="s">
        <v>211</v>
      </c>
      <c r="F126" s="16" t="s">
        <v>216</v>
      </c>
      <c r="G126" s="16" t="s">
        <v>221</v>
      </c>
      <c r="H126" s="16" t="s">
        <v>291</v>
      </c>
      <c r="I126">
        <v>1</v>
      </c>
      <c r="J126">
        <v>361</v>
      </c>
      <c r="K126">
        <v>361</v>
      </c>
      <c r="L126">
        <v>100.96</v>
      </c>
      <c r="M126">
        <v>0.27966759002770097</v>
      </c>
    </row>
    <row r="127" spans="1:13" x14ac:dyDescent="0.25">
      <c r="A127" s="16" t="s">
        <v>135</v>
      </c>
      <c r="B127" s="17">
        <v>44654</v>
      </c>
      <c r="C127" s="16" t="s">
        <v>561</v>
      </c>
      <c r="D127">
        <v>2022</v>
      </c>
      <c r="E127" s="16" t="s">
        <v>210</v>
      </c>
      <c r="F127" s="16" t="s">
        <v>214</v>
      </c>
      <c r="G127" s="16" t="s">
        <v>217</v>
      </c>
      <c r="H127" s="16" t="s">
        <v>331</v>
      </c>
      <c r="I127">
        <v>7</v>
      </c>
      <c r="J127">
        <v>299</v>
      </c>
      <c r="K127">
        <v>2093</v>
      </c>
      <c r="L127">
        <v>438.95</v>
      </c>
      <c r="M127">
        <v>0.209722885809842</v>
      </c>
    </row>
    <row r="128" spans="1:13" x14ac:dyDescent="0.25">
      <c r="A128" s="16" t="s">
        <v>136</v>
      </c>
      <c r="B128" s="17">
        <v>45254</v>
      </c>
      <c r="C128" s="16" t="s">
        <v>554</v>
      </c>
      <c r="D128">
        <v>2023</v>
      </c>
      <c r="E128" s="16" t="s">
        <v>211</v>
      </c>
      <c r="F128" s="16" t="s">
        <v>214</v>
      </c>
      <c r="G128" s="16" t="s">
        <v>224</v>
      </c>
      <c r="H128" s="16" t="s">
        <v>332</v>
      </c>
      <c r="I128">
        <v>4</v>
      </c>
      <c r="J128">
        <v>300</v>
      </c>
      <c r="K128">
        <v>1200</v>
      </c>
      <c r="L128">
        <v>161.78</v>
      </c>
      <c r="M128">
        <v>0.134816666666667</v>
      </c>
    </row>
    <row r="129" spans="1:13" x14ac:dyDescent="0.25">
      <c r="A129" s="16" t="s">
        <v>137</v>
      </c>
      <c r="B129" s="17">
        <v>44769</v>
      </c>
      <c r="C129" s="16" t="s">
        <v>559</v>
      </c>
      <c r="D129">
        <v>2022</v>
      </c>
      <c r="E129" s="16" t="s">
        <v>211</v>
      </c>
      <c r="F129" s="16" t="s">
        <v>215</v>
      </c>
      <c r="G129" s="16" t="s">
        <v>222</v>
      </c>
      <c r="H129" s="16" t="s">
        <v>333</v>
      </c>
      <c r="I129">
        <v>5</v>
      </c>
      <c r="J129">
        <v>265</v>
      </c>
      <c r="K129">
        <v>1325</v>
      </c>
      <c r="L129">
        <v>154.21</v>
      </c>
      <c r="M129">
        <v>0.116384905660377</v>
      </c>
    </row>
    <row r="130" spans="1:13" x14ac:dyDescent="0.25">
      <c r="A130" s="16" t="s">
        <v>138</v>
      </c>
      <c r="B130" s="17">
        <v>44917</v>
      </c>
      <c r="C130" s="16" t="s">
        <v>558</v>
      </c>
      <c r="D130">
        <v>2022</v>
      </c>
      <c r="E130" s="16" t="s">
        <v>212</v>
      </c>
      <c r="F130" s="16" t="s">
        <v>216</v>
      </c>
      <c r="G130" s="16" t="s">
        <v>219</v>
      </c>
      <c r="H130" s="16" t="s">
        <v>317</v>
      </c>
      <c r="I130">
        <v>8</v>
      </c>
      <c r="J130">
        <v>436</v>
      </c>
      <c r="K130">
        <v>3488</v>
      </c>
      <c r="L130">
        <v>960.89</v>
      </c>
      <c r="M130">
        <v>0.27548451834862397</v>
      </c>
    </row>
    <row r="131" spans="1:13" x14ac:dyDescent="0.25">
      <c r="A131" s="16" t="s">
        <v>139</v>
      </c>
      <c r="B131" s="17">
        <v>45220</v>
      </c>
      <c r="C131" s="16" t="s">
        <v>557</v>
      </c>
      <c r="D131">
        <v>2023</v>
      </c>
      <c r="E131" s="16" t="s">
        <v>211</v>
      </c>
      <c r="F131" s="16" t="s">
        <v>214</v>
      </c>
      <c r="G131" s="16" t="s">
        <v>224</v>
      </c>
      <c r="H131" s="16" t="s">
        <v>334</v>
      </c>
      <c r="I131">
        <v>10</v>
      </c>
      <c r="J131">
        <v>189</v>
      </c>
      <c r="K131">
        <v>1890</v>
      </c>
      <c r="L131">
        <v>397.05</v>
      </c>
      <c r="M131">
        <v>0.210079365079365</v>
      </c>
    </row>
    <row r="132" spans="1:13" x14ac:dyDescent="0.25">
      <c r="A132" s="16" t="s">
        <v>140</v>
      </c>
      <c r="B132" s="17">
        <v>45140</v>
      </c>
      <c r="C132" s="16" t="s">
        <v>555</v>
      </c>
      <c r="D132">
        <v>2023</v>
      </c>
      <c r="E132" s="16" t="s">
        <v>213</v>
      </c>
      <c r="F132" s="16" t="s">
        <v>216</v>
      </c>
      <c r="G132" s="16" t="s">
        <v>219</v>
      </c>
      <c r="H132" s="16" t="s">
        <v>252</v>
      </c>
      <c r="I132">
        <v>2</v>
      </c>
      <c r="J132">
        <v>140</v>
      </c>
      <c r="K132">
        <v>280</v>
      </c>
      <c r="L132">
        <v>66.709999999999994</v>
      </c>
      <c r="M132">
        <v>0.23824999999999999</v>
      </c>
    </row>
    <row r="133" spans="1:13" x14ac:dyDescent="0.25">
      <c r="A133" s="16" t="s">
        <v>141</v>
      </c>
      <c r="B133" s="17">
        <v>45116</v>
      </c>
      <c r="C133" s="16" t="s">
        <v>559</v>
      </c>
      <c r="D133">
        <v>2023</v>
      </c>
      <c r="E133" s="16" t="s">
        <v>213</v>
      </c>
      <c r="F133" s="16" t="s">
        <v>215</v>
      </c>
      <c r="G133" s="16" t="s">
        <v>222</v>
      </c>
      <c r="H133" s="16" t="s">
        <v>335</v>
      </c>
      <c r="I133">
        <v>10</v>
      </c>
      <c r="J133">
        <v>127</v>
      </c>
      <c r="K133">
        <v>1270</v>
      </c>
      <c r="L133">
        <v>324.79000000000002</v>
      </c>
      <c r="M133">
        <v>0.25574015748031498</v>
      </c>
    </row>
    <row r="134" spans="1:13" x14ac:dyDescent="0.25">
      <c r="A134" s="16" t="s">
        <v>142</v>
      </c>
      <c r="B134" s="17">
        <v>44998</v>
      </c>
      <c r="C134" s="16" t="s">
        <v>563</v>
      </c>
      <c r="D134">
        <v>2023</v>
      </c>
      <c r="E134" s="16" t="s">
        <v>210</v>
      </c>
      <c r="F134" s="16" t="s">
        <v>216</v>
      </c>
      <c r="G134" s="16" t="s">
        <v>223</v>
      </c>
      <c r="H134" s="16" t="s">
        <v>336</v>
      </c>
      <c r="I134">
        <v>4</v>
      </c>
      <c r="J134">
        <v>28</v>
      </c>
      <c r="K134">
        <v>112</v>
      </c>
      <c r="L134">
        <v>18.13</v>
      </c>
      <c r="M134">
        <v>0.16187499999999999</v>
      </c>
    </row>
    <row r="135" spans="1:13" x14ac:dyDescent="0.25">
      <c r="A135" s="16" t="s">
        <v>143</v>
      </c>
      <c r="B135" s="17">
        <v>44914</v>
      </c>
      <c r="C135" s="16" t="s">
        <v>558</v>
      </c>
      <c r="D135">
        <v>2022</v>
      </c>
      <c r="E135" s="16" t="s">
        <v>211</v>
      </c>
      <c r="F135" s="16" t="s">
        <v>214</v>
      </c>
      <c r="G135" s="16" t="s">
        <v>220</v>
      </c>
      <c r="H135" s="16" t="s">
        <v>337</v>
      </c>
      <c r="I135">
        <v>6</v>
      </c>
      <c r="J135">
        <v>152</v>
      </c>
      <c r="K135">
        <v>912</v>
      </c>
      <c r="L135">
        <v>215.52</v>
      </c>
      <c r="M135">
        <v>0.23631578947368401</v>
      </c>
    </row>
    <row r="136" spans="1:13" x14ac:dyDescent="0.25">
      <c r="A136" s="16" t="s">
        <v>144</v>
      </c>
      <c r="B136" s="17">
        <v>44806</v>
      </c>
      <c r="C136" s="16" t="s">
        <v>562</v>
      </c>
      <c r="D136">
        <v>2022</v>
      </c>
      <c r="E136" s="16" t="s">
        <v>211</v>
      </c>
      <c r="F136" s="16" t="s">
        <v>216</v>
      </c>
      <c r="G136" s="16" t="s">
        <v>221</v>
      </c>
      <c r="H136" s="16" t="s">
        <v>338</v>
      </c>
      <c r="I136">
        <v>5</v>
      </c>
      <c r="J136">
        <v>226</v>
      </c>
      <c r="K136">
        <v>1130</v>
      </c>
      <c r="L136">
        <v>184.86</v>
      </c>
      <c r="M136">
        <v>0.16359292035398201</v>
      </c>
    </row>
    <row r="137" spans="1:13" x14ac:dyDescent="0.25">
      <c r="A137" s="16" t="s">
        <v>145</v>
      </c>
      <c r="B137" s="17">
        <v>44929</v>
      </c>
      <c r="C137" s="16" t="s">
        <v>552</v>
      </c>
      <c r="D137">
        <v>2023</v>
      </c>
      <c r="E137" s="16" t="s">
        <v>212</v>
      </c>
      <c r="F137" s="16" t="s">
        <v>216</v>
      </c>
      <c r="G137" s="16" t="s">
        <v>223</v>
      </c>
      <c r="H137" s="16" t="s">
        <v>339</v>
      </c>
      <c r="I137">
        <v>5</v>
      </c>
      <c r="J137">
        <v>362</v>
      </c>
      <c r="K137">
        <v>1810</v>
      </c>
      <c r="L137">
        <v>279</v>
      </c>
      <c r="M137">
        <v>0.15414364640884001</v>
      </c>
    </row>
    <row r="138" spans="1:13" x14ac:dyDescent="0.25">
      <c r="A138" s="16" t="s">
        <v>146</v>
      </c>
      <c r="B138" s="17">
        <v>45247</v>
      </c>
      <c r="C138" s="16" t="s">
        <v>554</v>
      </c>
      <c r="D138">
        <v>2023</v>
      </c>
      <c r="E138" s="16" t="s">
        <v>213</v>
      </c>
      <c r="F138" s="16" t="s">
        <v>215</v>
      </c>
      <c r="G138" s="16" t="s">
        <v>222</v>
      </c>
      <c r="H138" s="16" t="s">
        <v>293</v>
      </c>
      <c r="I138">
        <v>8</v>
      </c>
      <c r="J138">
        <v>380</v>
      </c>
      <c r="K138">
        <v>3040</v>
      </c>
      <c r="L138">
        <v>883.44</v>
      </c>
      <c r="M138">
        <v>0.29060526315789498</v>
      </c>
    </row>
    <row r="139" spans="1:13" x14ac:dyDescent="0.25">
      <c r="A139" s="16" t="s">
        <v>147</v>
      </c>
      <c r="B139" s="17">
        <v>44979</v>
      </c>
      <c r="C139" s="16" t="s">
        <v>556</v>
      </c>
      <c r="D139">
        <v>2023</v>
      </c>
      <c r="E139" s="16" t="s">
        <v>210</v>
      </c>
      <c r="F139" s="16" t="s">
        <v>216</v>
      </c>
      <c r="G139" s="16" t="s">
        <v>223</v>
      </c>
      <c r="H139" s="16" t="s">
        <v>340</v>
      </c>
      <c r="I139">
        <v>5</v>
      </c>
      <c r="J139">
        <v>139</v>
      </c>
      <c r="K139">
        <v>695</v>
      </c>
      <c r="L139">
        <v>105.86</v>
      </c>
      <c r="M139">
        <v>0.15231654676258999</v>
      </c>
    </row>
    <row r="140" spans="1:13" x14ac:dyDescent="0.25">
      <c r="A140" s="16" t="s">
        <v>148</v>
      </c>
      <c r="B140" s="17">
        <v>45251</v>
      </c>
      <c r="C140" s="16" t="s">
        <v>554</v>
      </c>
      <c r="D140">
        <v>2023</v>
      </c>
      <c r="E140" s="16" t="s">
        <v>211</v>
      </c>
      <c r="F140" s="16" t="s">
        <v>215</v>
      </c>
      <c r="G140" s="16" t="s">
        <v>218</v>
      </c>
      <c r="H140" s="16" t="s">
        <v>341</v>
      </c>
      <c r="I140">
        <v>9</v>
      </c>
      <c r="J140">
        <v>482</v>
      </c>
      <c r="K140">
        <v>4338</v>
      </c>
      <c r="L140">
        <v>679.68</v>
      </c>
      <c r="M140">
        <v>0.156680497925311</v>
      </c>
    </row>
    <row r="141" spans="1:13" x14ac:dyDescent="0.25">
      <c r="A141" s="16" t="s">
        <v>149</v>
      </c>
      <c r="B141" s="17">
        <v>44877</v>
      </c>
      <c r="C141" s="16" t="s">
        <v>554</v>
      </c>
      <c r="D141">
        <v>2022</v>
      </c>
      <c r="E141" s="16" t="s">
        <v>211</v>
      </c>
      <c r="F141" s="16" t="s">
        <v>216</v>
      </c>
      <c r="G141" s="16" t="s">
        <v>223</v>
      </c>
      <c r="H141" s="16" t="s">
        <v>306</v>
      </c>
      <c r="I141">
        <v>8</v>
      </c>
      <c r="J141">
        <v>403</v>
      </c>
      <c r="K141">
        <v>3224</v>
      </c>
      <c r="L141">
        <v>763.44</v>
      </c>
      <c r="M141">
        <v>0.23679900744416901</v>
      </c>
    </row>
    <row r="142" spans="1:13" x14ac:dyDescent="0.25">
      <c r="A142" s="16" t="s">
        <v>150</v>
      </c>
      <c r="B142" s="17">
        <v>44848</v>
      </c>
      <c r="C142" s="16" t="s">
        <v>557</v>
      </c>
      <c r="D142">
        <v>2022</v>
      </c>
      <c r="E142" s="16" t="s">
        <v>212</v>
      </c>
      <c r="F142" s="16" t="s">
        <v>215</v>
      </c>
      <c r="G142" s="16" t="s">
        <v>218</v>
      </c>
      <c r="H142" s="16" t="s">
        <v>342</v>
      </c>
      <c r="I142">
        <v>5</v>
      </c>
      <c r="J142">
        <v>311</v>
      </c>
      <c r="K142">
        <v>1555</v>
      </c>
      <c r="L142">
        <v>170.75</v>
      </c>
      <c r="M142">
        <v>0.109807073954984</v>
      </c>
    </row>
    <row r="143" spans="1:13" x14ac:dyDescent="0.25">
      <c r="A143" s="16" t="s">
        <v>151</v>
      </c>
      <c r="B143" s="17">
        <v>44983</v>
      </c>
      <c r="C143" s="16" t="s">
        <v>556</v>
      </c>
      <c r="D143">
        <v>2023</v>
      </c>
      <c r="E143" s="16" t="s">
        <v>211</v>
      </c>
      <c r="F143" s="16" t="s">
        <v>216</v>
      </c>
      <c r="G143" s="16" t="s">
        <v>221</v>
      </c>
      <c r="H143" s="16" t="s">
        <v>343</v>
      </c>
      <c r="I143">
        <v>1</v>
      </c>
      <c r="J143">
        <v>453</v>
      </c>
      <c r="K143">
        <v>453</v>
      </c>
      <c r="L143">
        <v>77.16</v>
      </c>
      <c r="M143">
        <v>0.17033112582781501</v>
      </c>
    </row>
    <row r="144" spans="1:13" x14ac:dyDescent="0.25">
      <c r="A144" s="16" t="s">
        <v>152</v>
      </c>
      <c r="B144" s="17">
        <v>44977</v>
      </c>
      <c r="C144" s="16" t="s">
        <v>556</v>
      </c>
      <c r="D144">
        <v>2023</v>
      </c>
      <c r="E144" s="16" t="s">
        <v>211</v>
      </c>
      <c r="F144" s="16" t="s">
        <v>216</v>
      </c>
      <c r="G144" s="16" t="s">
        <v>219</v>
      </c>
      <c r="H144" s="16" t="s">
        <v>344</v>
      </c>
      <c r="I144">
        <v>10</v>
      </c>
      <c r="J144">
        <v>462</v>
      </c>
      <c r="K144">
        <v>4620</v>
      </c>
      <c r="L144">
        <v>1012.79</v>
      </c>
      <c r="M144">
        <v>0.21921861471861501</v>
      </c>
    </row>
    <row r="145" spans="1:13" x14ac:dyDescent="0.25">
      <c r="A145" s="16" t="s">
        <v>153</v>
      </c>
      <c r="B145" s="17">
        <v>45059</v>
      </c>
      <c r="C145" s="16" t="s">
        <v>553</v>
      </c>
      <c r="D145">
        <v>2023</v>
      </c>
      <c r="E145" s="16" t="s">
        <v>212</v>
      </c>
      <c r="F145" s="16" t="s">
        <v>216</v>
      </c>
      <c r="G145" s="16" t="s">
        <v>219</v>
      </c>
      <c r="H145" s="16" t="s">
        <v>243</v>
      </c>
      <c r="I145">
        <v>6</v>
      </c>
      <c r="J145">
        <v>111</v>
      </c>
      <c r="K145">
        <v>666</v>
      </c>
      <c r="L145">
        <v>131.06</v>
      </c>
      <c r="M145">
        <v>0.19678678678678699</v>
      </c>
    </row>
    <row r="146" spans="1:13" x14ac:dyDescent="0.25">
      <c r="A146" s="16" t="s">
        <v>154</v>
      </c>
      <c r="B146" s="17">
        <v>44967</v>
      </c>
      <c r="C146" s="16" t="s">
        <v>556</v>
      </c>
      <c r="D146">
        <v>2023</v>
      </c>
      <c r="E146" s="16" t="s">
        <v>213</v>
      </c>
      <c r="F146" s="16" t="s">
        <v>215</v>
      </c>
      <c r="G146" s="16" t="s">
        <v>225</v>
      </c>
      <c r="H146" s="16" t="s">
        <v>345</v>
      </c>
      <c r="I146">
        <v>8</v>
      </c>
      <c r="J146">
        <v>182</v>
      </c>
      <c r="K146">
        <v>1456</v>
      </c>
      <c r="L146">
        <v>377.06</v>
      </c>
      <c r="M146">
        <v>0.25896978021978001</v>
      </c>
    </row>
    <row r="147" spans="1:13" x14ac:dyDescent="0.25">
      <c r="A147" s="16" t="s">
        <v>155</v>
      </c>
      <c r="B147" s="17">
        <v>44972</v>
      </c>
      <c r="C147" s="16" t="s">
        <v>556</v>
      </c>
      <c r="D147">
        <v>2023</v>
      </c>
      <c r="E147" s="16" t="s">
        <v>213</v>
      </c>
      <c r="F147" s="16" t="s">
        <v>215</v>
      </c>
      <c r="G147" s="16" t="s">
        <v>225</v>
      </c>
      <c r="H147" s="16" t="s">
        <v>324</v>
      </c>
      <c r="I147">
        <v>10</v>
      </c>
      <c r="J147">
        <v>117</v>
      </c>
      <c r="K147">
        <v>1170</v>
      </c>
      <c r="L147">
        <v>320.42</v>
      </c>
      <c r="M147">
        <v>0.273863247863248</v>
      </c>
    </row>
    <row r="148" spans="1:13" x14ac:dyDescent="0.25">
      <c r="A148" s="16" t="s">
        <v>156</v>
      </c>
      <c r="B148" s="17">
        <v>45041</v>
      </c>
      <c r="C148" s="16" t="s">
        <v>561</v>
      </c>
      <c r="D148">
        <v>2023</v>
      </c>
      <c r="E148" s="16" t="s">
        <v>213</v>
      </c>
      <c r="F148" s="16" t="s">
        <v>216</v>
      </c>
      <c r="G148" s="16" t="s">
        <v>219</v>
      </c>
      <c r="H148" s="16" t="s">
        <v>346</v>
      </c>
      <c r="I148">
        <v>1</v>
      </c>
      <c r="J148">
        <v>56</v>
      </c>
      <c r="K148">
        <v>56</v>
      </c>
      <c r="L148">
        <v>12.02</v>
      </c>
      <c r="M148">
        <v>0.214642857142857</v>
      </c>
    </row>
    <row r="149" spans="1:13" x14ac:dyDescent="0.25">
      <c r="A149" s="16" t="s">
        <v>157</v>
      </c>
      <c r="B149" s="17">
        <v>44628</v>
      </c>
      <c r="C149" s="16" t="s">
        <v>563</v>
      </c>
      <c r="D149">
        <v>2022</v>
      </c>
      <c r="E149" s="16" t="s">
        <v>210</v>
      </c>
      <c r="F149" s="16" t="s">
        <v>214</v>
      </c>
      <c r="G149" s="16" t="s">
        <v>224</v>
      </c>
      <c r="H149" s="16" t="s">
        <v>347</v>
      </c>
      <c r="I149">
        <v>9</v>
      </c>
      <c r="J149">
        <v>132</v>
      </c>
      <c r="K149">
        <v>1188</v>
      </c>
      <c r="L149">
        <v>208.65</v>
      </c>
      <c r="M149">
        <v>0.175631313131313</v>
      </c>
    </row>
    <row r="150" spans="1:13" x14ac:dyDescent="0.25">
      <c r="A150" s="16" t="s">
        <v>158</v>
      </c>
      <c r="B150" s="17">
        <v>44763</v>
      </c>
      <c r="C150" s="16" t="s">
        <v>559</v>
      </c>
      <c r="D150">
        <v>2022</v>
      </c>
      <c r="E150" s="16" t="s">
        <v>213</v>
      </c>
      <c r="F150" s="16" t="s">
        <v>215</v>
      </c>
      <c r="G150" s="16" t="s">
        <v>222</v>
      </c>
      <c r="H150" s="16" t="s">
        <v>348</v>
      </c>
      <c r="I150">
        <v>4</v>
      </c>
      <c r="J150">
        <v>26</v>
      </c>
      <c r="K150">
        <v>104</v>
      </c>
      <c r="L150">
        <v>22.48</v>
      </c>
      <c r="M150">
        <v>0.216153846153846</v>
      </c>
    </row>
    <row r="151" spans="1:13" x14ac:dyDescent="0.25">
      <c r="A151" s="16" t="s">
        <v>159</v>
      </c>
      <c r="B151" s="17">
        <v>45186</v>
      </c>
      <c r="C151" s="16" t="s">
        <v>562</v>
      </c>
      <c r="D151">
        <v>2023</v>
      </c>
      <c r="E151" s="16" t="s">
        <v>213</v>
      </c>
      <c r="F151" s="16" t="s">
        <v>214</v>
      </c>
      <c r="G151" s="16" t="s">
        <v>224</v>
      </c>
      <c r="H151" s="16" t="s">
        <v>349</v>
      </c>
      <c r="I151">
        <v>1</v>
      </c>
      <c r="J151">
        <v>482</v>
      </c>
      <c r="K151">
        <v>482</v>
      </c>
      <c r="L151">
        <v>112.9</v>
      </c>
      <c r="M151">
        <v>0.23423236514522799</v>
      </c>
    </row>
    <row r="152" spans="1:13" x14ac:dyDescent="0.25">
      <c r="A152" s="16" t="s">
        <v>160</v>
      </c>
      <c r="B152" s="17">
        <v>45024</v>
      </c>
      <c r="C152" s="16" t="s">
        <v>561</v>
      </c>
      <c r="D152">
        <v>2023</v>
      </c>
      <c r="E152" s="16" t="s">
        <v>213</v>
      </c>
      <c r="F152" s="16" t="s">
        <v>214</v>
      </c>
      <c r="G152" s="16" t="s">
        <v>217</v>
      </c>
      <c r="H152" s="16" t="s">
        <v>280</v>
      </c>
      <c r="I152">
        <v>8</v>
      </c>
      <c r="J152">
        <v>335</v>
      </c>
      <c r="K152">
        <v>2680</v>
      </c>
      <c r="L152">
        <v>632.45000000000005</v>
      </c>
      <c r="M152">
        <v>0.23598880597014901</v>
      </c>
    </row>
    <row r="153" spans="1:13" x14ac:dyDescent="0.25">
      <c r="A153" s="16" t="s">
        <v>161</v>
      </c>
      <c r="B153" s="17">
        <v>44646</v>
      </c>
      <c r="C153" s="16" t="s">
        <v>563</v>
      </c>
      <c r="D153">
        <v>2022</v>
      </c>
      <c r="E153" s="16" t="s">
        <v>213</v>
      </c>
      <c r="F153" s="16" t="s">
        <v>214</v>
      </c>
      <c r="G153" s="16" t="s">
        <v>217</v>
      </c>
      <c r="H153" s="16" t="s">
        <v>350</v>
      </c>
      <c r="I153">
        <v>10</v>
      </c>
      <c r="J153">
        <v>141</v>
      </c>
      <c r="K153">
        <v>1410</v>
      </c>
      <c r="L153">
        <v>169.44</v>
      </c>
      <c r="M153">
        <v>0.120170212765957</v>
      </c>
    </row>
    <row r="154" spans="1:13" x14ac:dyDescent="0.25">
      <c r="A154" s="16" t="s">
        <v>162</v>
      </c>
      <c r="B154" s="17">
        <v>44814</v>
      </c>
      <c r="C154" s="16" t="s">
        <v>562</v>
      </c>
      <c r="D154">
        <v>2022</v>
      </c>
      <c r="E154" s="16" t="s">
        <v>211</v>
      </c>
      <c r="F154" s="16" t="s">
        <v>216</v>
      </c>
      <c r="G154" s="16" t="s">
        <v>221</v>
      </c>
      <c r="H154" s="16" t="s">
        <v>351</v>
      </c>
      <c r="I154">
        <v>4</v>
      </c>
      <c r="J154">
        <v>322</v>
      </c>
      <c r="K154">
        <v>1288</v>
      </c>
      <c r="L154">
        <v>312.41000000000003</v>
      </c>
      <c r="M154">
        <v>0.24255434782608701</v>
      </c>
    </row>
    <row r="155" spans="1:13" x14ac:dyDescent="0.25">
      <c r="A155" s="16" t="s">
        <v>163</v>
      </c>
      <c r="B155" s="17">
        <v>44978</v>
      </c>
      <c r="C155" s="16" t="s">
        <v>556</v>
      </c>
      <c r="D155">
        <v>2023</v>
      </c>
      <c r="E155" s="16" t="s">
        <v>211</v>
      </c>
      <c r="F155" s="16" t="s">
        <v>215</v>
      </c>
      <c r="G155" s="16" t="s">
        <v>222</v>
      </c>
      <c r="H155" s="16" t="s">
        <v>309</v>
      </c>
      <c r="I155">
        <v>6</v>
      </c>
      <c r="J155">
        <v>443</v>
      </c>
      <c r="K155">
        <v>2658</v>
      </c>
      <c r="L155">
        <v>326.14</v>
      </c>
      <c r="M155">
        <v>0.12270127915726101</v>
      </c>
    </row>
    <row r="156" spans="1:13" x14ac:dyDescent="0.25">
      <c r="A156" s="16" t="s">
        <v>164</v>
      </c>
      <c r="B156" s="17">
        <v>44867</v>
      </c>
      <c r="C156" s="16" t="s">
        <v>554</v>
      </c>
      <c r="D156">
        <v>2022</v>
      </c>
      <c r="E156" s="16" t="s">
        <v>211</v>
      </c>
      <c r="F156" s="16" t="s">
        <v>214</v>
      </c>
      <c r="G156" s="16" t="s">
        <v>217</v>
      </c>
      <c r="H156" s="16" t="s">
        <v>352</v>
      </c>
      <c r="I156">
        <v>2</v>
      </c>
      <c r="J156">
        <v>112</v>
      </c>
      <c r="K156">
        <v>224</v>
      </c>
      <c r="L156">
        <v>63.02</v>
      </c>
      <c r="M156">
        <v>0.28133928571428601</v>
      </c>
    </row>
    <row r="157" spans="1:13" x14ac:dyDescent="0.25">
      <c r="A157" s="16" t="s">
        <v>165</v>
      </c>
      <c r="B157" s="17">
        <v>44806</v>
      </c>
      <c r="C157" s="16" t="s">
        <v>562</v>
      </c>
      <c r="D157">
        <v>2022</v>
      </c>
      <c r="E157" s="16" t="s">
        <v>211</v>
      </c>
      <c r="F157" s="16" t="s">
        <v>214</v>
      </c>
      <c r="G157" s="16" t="s">
        <v>224</v>
      </c>
      <c r="H157" s="16" t="s">
        <v>353</v>
      </c>
      <c r="I157">
        <v>7</v>
      </c>
      <c r="J157">
        <v>53</v>
      </c>
      <c r="K157">
        <v>371</v>
      </c>
      <c r="L157">
        <v>45.73</v>
      </c>
      <c r="M157">
        <v>0.123261455525606</v>
      </c>
    </row>
    <row r="158" spans="1:13" x14ac:dyDescent="0.25">
      <c r="A158" s="16" t="s">
        <v>166</v>
      </c>
      <c r="B158" s="17">
        <v>44976</v>
      </c>
      <c r="C158" s="16" t="s">
        <v>556</v>
      </c>
      <c r="D158">
        <v>2023</v>
      </c>
      <c r="E158" s="16" t="s">
        <v>211</v>
      </c>
      <c r="F158" s="16" t="s">
        <v>215</v>
      </c>
      <c r="G158" s="16" t="s">
        <v>218</v>
      </c>
      <c r="H158" s="16" t="s">
        <v>354</v>
      </c>
      <c r="I158">
        <v>2</v>
      </c>
      <c r="J158">
        <v>50</v>
      </c>
      <c r="K158">
        <v>100</v>
      </c>
      <c r="L158">
        <v>23.06</v>
      </c>
      <c r="M158">
        <v>0.2306</v>
      </c>
    </row>
    <row r="159" spans="1:13" x14ac:dyDescent="0.25">
      <c r="A159" s="16" t="s">
        <v>167</v>
      </c>
      <c r="B159" s="17">
        <v>44696</v>
      </c>
      <c r="C159" s="16" t="s">
        <v>553</v>
      </c>
      <c r="D159">
        <v>2022</v>
      </c>
      <c r="E159" s="16" t="s">
        <v>212</v>
      </c>
      <c r="F159" s="16" t="s">
        <v>216</v>
      </c>
      <c r="G159" s="16" t="s">
        <v>221</v>
      </c>
      <c r="H159" s="16" t="s">
        <v>300</v>
      </c>
      <c r="I159">
        <v>3</v>
      </c>
      <c r="J159">
        <v>45</v>
      </c>
      <c r="K159">
        <v>135</v>
      </c>
      <c r="L159">
        <v>24.24</v>
      </c>
      <c r="M159">
        <v>0.179555555555556</v>
      </c>
    </row>
    <row r="160" spans="1:13" x14ac:dyDescent="0.25">
      <c r="A160" s="16" t="s">
        <v>168</v>
      </c>
      <c r="B160" s="17">
        <v>44789</v>
      </c>
      <c r="C160" s="16" t="s">
        <v>555</v>
      </c>
      <c r="D160">
        <v>2022</v>
      </c>
      <c r="E160" s="16" t="s">
        <v>213</v>
      </c>
      <c r="F160" s="16" t="s">
        <v>216</v>
      </c>
      <c r="G160" s="16" t="s">
        <v>221</v>
      </c>
      <c r="H160" s="16" t="s">
        <v>355</v>
      </c>
      <c r="I160">
        <v>9</v>
      </c>
      <c r="J160">
        <v>257</v>
      </c>
      <c r="K160">
        <v>2313</v>
      </c>
      <c r="L160">
        <v>330.39</v>
      </c>
      <c r="M160">
        <v>0.14284046692607</v>
      </c>
    </row>
    <row r="161" spans="1:13" x14ac:dyDescent="0.25">
      <c r="A161" s="16" t="s">
        <v>169</v>
      </c>
      <c r="B161" s="17">
        <v>44890</v>
      </c>
      <c r="C161" s="16" t="s">
        <v>554</v>
      </c>
      <c r="D161">
        <v>2022</v>
      </c>
      <c r="E161" s="16" t="s">
        <v>210</v>
      </c>
      <c r="F161" s="16" t="s">
        <v>214</v>
      </c>
      <c r="G161" s="16" t="s">
        <v>224</v>
      </c>
      <c r="H161" s="16" t="s">
        <v>353</v>
      </c>
      <c r="I161">
        <v>2</v>
      </c>
      <c r="J161">
        <v>210</v>
      </c>
      <c r="K161">
        <v>420</v>
      </c>
      <c r="L161">
        <v>65.95</v>
      </c>
      <c r="M161">
        <v>0.15702380952381001</v>
      </c>
    </row>
    <row r="162" spans="1:13" x14ac:dyDescent="0.25">
      <c r="A162" s="16" t="s">
        <v>170</v>
      </c>
      <c r="B162" s="17">
        <v>44723</v>
      </c>
      <c r="C162" s="16" t="s">
        <v>560</v>
      </c>
      <c r="D162">
        <v>2022</v>
      </c>
      <c r="E162" s="16" t="s">
        <v>211</v>
      </c>
      <c r="F162" s="16" t="s">
        <v>215</v>
      </c>
      <c r="G162" s="16" t="s">
        <v>225</v>
      </c>
      <c r="H162" s="16" t="s">
        <v>356</v>
      </c>
      <c r="I162">
        <v>2</v>
      </c>
      <c r="J162">
        <v>451</v>
      </c>
      <c r="K162">
        <v>902</v>
      </c>
      <c r="L162">
        <v>134.32</v>
      </c>
      <c r="M162">
        <v>0.148913525498891</v>
      </c>
    </row>
    <row r="163" spans="1:13" x14ac:dyDescent="0.25">
      <c r="A163" s="16" t="s">
        <v>171</v>
      </c>
      <c r="B163" s="17">
        <v>44919</v>
      </c>
      <c r="C163" s="16" t="s">
        <v>558</v>
      </c>
      <c r="D163">
        <v>2022</v>
      </c>
      <c r="E163" s="16" t="s">
        <v>210</v>
      </c>
      <c r="F163" s="16" t="s">
        <v>215</v>
      </c>
      <c r="G163" s="16" t="s">
        <v>225</v>
      </c>
      <c r="H163" s="16" t="s">
        <v>357</v>
      </c>
      <c r="I163">
        <v>3</v>
      </c>
      <c r="J163">
        <v>80</v>
      </c>
      <c r="K163">
        <v>240</v>
      </c>
      <c r="L163">
        <v>70.209999999999994</v>
      </c>
      <c r="M163">
        <v>0.29254166666666698</v>
      </c>
    </row>
    <row r="164" spans="1:13" x14ac:dyDescent="0.25">
      <c r="A164" s="16" t="s">
        <v>172</v>
      </c>
      <c r="B164" s="17">
        <v>44792</v>
      </c>
      <c r="C164" s="16" t="s">
        <v>555</v>
      </c>
      <c r="D164">
        <v>2022</v>
      </c>
      <c r="E164" s="16" t="s">
        <v>213</v>
      </c>
      <c r="F164" s="16" t="s">
        <v>215</v>
      </c>
      <c r="G164" s="16" t="s">
        <v>218</v>
      </c>
      <c r="H164" s="16" t="s">
        <v>227</v>
      </c>
      <c r="I164">
        <v>9</v>
      </c>
      <c r="J164">
        <v>351</v>
      </c>
      <c r="K164">
        <v>3159</v>
      </c>
      <c r="L164">
        <v>378.51</v>
      </c>
      <c r="M164">
        <v>0.11981956315289601</v>
      </c>
    </row>
    <row r="165" spans="1:13" x14ac:dyDescent="0.25">
      <c r="A165" s="16" t="s">
        <v>173</v>
      </c>
      <c r="B165" s="17">
        <v>44983</v>
      </c>
      <c r="C165" s="16" t="s">
        <v>556</v>
      </c>
      <c r="D165">
        <v>2023</v>
      </c>
      <c r="E165" s="16" t="s">
        <v>213</v>
      </c>
      <c r="F165" s="16" t="s">
        <v>215</v>
      </c>
      <c r="G165" s="16" t="s">
        <v>218</v>
      </c>
      <c r="H165" s="16" t="s">
        <v>358</v>
      </c>
      <c r="I165">
        <v>8</v>
      </c>
      <c r="J165">
        <v>406</v>
      </c>
      <c r="K165">
        <v>3248</v>
      </c>
      <c r="L165">
        <v>653.07000000000005</v>
      </c>
      <c r="M165">
        <v>0.201068349753695</v>
      </c>
    </row>
    <row r="166" spans="1:13" x14ac:dyDescent="0.25">
      <c r="A166" s="16" t="s">
        <v>174</v>
      </c>
      <c r="B166" s="17">
        <v>44707</v>
      </c>
      <c r="C166" s="16" t="s">
        <v>553</v>
      </c>
      <c r="D166">
        <v>2022</v>
      </c>
      <c r="E166" s="16" t="s">
        <v>210</v>
      </c>
      <c r="F166" s="16" t="s">
        <v>214</v>
      </c>
      <c r="G166" s="16" t="s">
        <v>224</v>
      </c>
      <c r="H166" s="16" t="s">
        <v>311</v>
      </c>
      <c r="I166">
        <v>2</v>
      </c>
      <c r="J166">
        <v>397</v>
      </c>
      <c r="K166">
        <v>794</v>
      </c>
      <c r="L166">
        <v>220.51</v>
      </c>
      <c r="M166">
        <v>0.27772040302266998</v>
      </c>
    </row>
    <row r="167" spans="1:13" x14ac:dyDescent="0.25">
      <c r="A167" s="16" t="s">
        <v>175</v>
      </c>
      <c r="B167" s="17">
        <v>45144</v>
      </c>
      <c r="C167" s="16" t="s">
        <v>555</v>
      </c>
      <c r="D167">
        <v>2023</v>
      </c>
      <c r="E167" s="16" t="s">
        <v>213</v>
      </c>
      <c r="F167" s="16" t="s">
        <v>214</v>
      </c>
      <c r="G167" s="16" t="s">
        <v>224</v>
      </c>
      <c r="H167" s="16" t="s">
        <v>359</v>
      </c>
      <c r="I167">
        <v>4</v>
      </c>
      <c r="J167">
        <v>336</v>
      </c>
      <c r="K167">
        <v>1344</v>
      </c>
      <c r="L167">
        <v>393.15</v>
      </c>
      <c r="M167">
        <v>0.29252232142857099</v>
      </c>
    </row>
    <row r="168" spans="1:13" x14ac:dyDescent="0.25">
      <c r="A168" s="16" t="s">
        <v>176</v>
      </c>
      <c r="B168" s="17">
        <v>44847</v>
      </c>
      <c r="C168" s="16" t="s">
        <v>557</v>
      </c>
      <c r="D168">
        <v>2022</v>
      </c>
      <c r="E168" s="16" t="s">
        <v>210</v>
      </c>
      <c r="F168" s="16" t="s">
        <v>216</v>
      </c>
      <c r="G168" s="16" t="s">
        <v>221</v>
      </c>
      <c r="H168" s="16" t="s">
        <v>251</v>
      </c>
      <c r="I168">
        <v>2</v>
      </c>
      <c r="J168">
        <v>423</v>
      </c>
      <c r="K168">
        <v>846</v>
      </c>
      <c r="L168">
        <v>98.18</v>
      </c>
      <c r="M168">
        <v>0.116052009456265</v>
      </c>
    </row>
    <row r="169" spans="1:13" x14ac:dyDescent="0.25">
      <c r="A169" s="16" t="s">
        <v>177</v>
      </c>
      <c r="B169" s="17">
        <v>44915</v>
      </c>
      <c r="C169" s="16" t="s">
        <v>558</v>
      </c>
      <c r="D169">
        <v>2022</v>
      </c>
      <c r="E169" s="16" t="s">
        <v>213</v>
      </c>
      <c r="F169" s="16" t="s">
        <v>214</v>
      </c>
      <c r="G169" s="16" t="s">
        <v>220</v>
      </c>
      <c r="H169" s="16" t="s">
        <v>360</v>
      </c>
      <c r="I169">
        <v>7</v>
      </c>
      <c r="J169">
        <v>235</v>
      </c>
      <c r="K169">
        <v>1645</v>
      </c>
      <c r="L169">
        <v>234.48</v>
      </c>
      <c r="M169">
        <v>0.14254103343464999</v>
      </c>
    </row>
    <row r="170" spans="1:13" x14ac:dyDescent="0.25">
      <c r="A170" s="16" t="s">
        <v>178</v>
      </c>
      <c r="B170" s="17">
        <v>44947</v>
      </c>
      <c r="C170" s="16" t="s">
        <v>552</v>
      </c>
      <c r="D170">
        <v>2023</v>
      </c>
      <c r="E170" s="16" t="s">
        <v>212</v>
      </c>
      <c r="F170" s="16" t="s">
        <v>214</v>
      </c>
      <c r="G170" s="16" t="s">
        <v>220</v>
      </c>
      <c r="H170" s="16" t="s">
        <v>337</v>
      </c>
      <c r="I170">
        <v>10</v>
      </c>
      <c r="J170">
        <v>106</v>
      </c>
      <c r="K170">
        <v>1060</v>
      </c>
      <c r="L170">
        <v>170.58</v>
      </c>
      <c r="M170">
        <v>0.160924528301887</v>
      </c>
    </row>
    <row r="171" spans="1:13" x14ac:dyDescent="0.25">
      <c r="A171" s="16" t="s">
        <v>179</v>
      </c>
      <c r="B171" s="17">
        <v>44725</v>
      </c>
      <c r="C171" s="16" t="s">
        <v>560</v>
      </c>
      <c r="D171">
        <v>2022</v>
      </c>
      <c r="E171" s="16" t="s">
        <v>211</v>
      </c>
      <c r="F171" s="16" t="s">
        <v>215</v>
      </c>
      <c r="G171" s="16" t="s">
        <v>222</v>
      </c>
      <c r="H171" s="16" t="s">
        <v>259</v>
      </c>
      <c r="I171">
        <v>2</v>
      </c>
      <c r="J171">
        <v>405</v>
      </c>
      <c r="K171">
        <v>810</v>
      </c>
      <c r="L171">
        <v>168.79</v>
      </c>
      <c r="M171">
        <v>0.20838271604938299</v>
      </c>
    </row>
    <row r="172" spans="1:13" x14ac:dyDescent="0.25">
      <c r="A172" s="16" t="s">
        <v>180</v>
      </c>
      <c r="B172" s="17">
        <v>45078</v>
      </c>
      <c r="C172" s="16" t="s">
        <v>560</v>
      </c>
      <c r="D172">
        <v>2023</v>
      </c>
      <c r="E172" s="16" t="s">
        <v>213</v>
      </c>
      <c r="F172" s="16" t="s">
        <v>214</v>
      </c>
      <c r="G172" s="16" t="s">
        <v>220</v>
      </c>
      <c r="H172" s="16" t="s">
        <v>282</v>
      </c>
      <c r="I172">
        <v>9</v>
      </c>
      <c r="J172">
        <v>65</v>
      </c>
      <c r="K172">
        <v>585</v>
      </c>
      <c r="L172">
        <v>70.430000000000007</v>
      </c>
      <c r="M172">
        <v>0.120393162393162</v>
      </c>
    </row>
    <row r="173" spans="1:13" x14ac:dyDescent="0.25">
      <c r="A173" s="16" t="s">
        <v>181</v>
      </c>
      <c r="B173" s="17">
        <v>44907</v>
      </c>
      <c r="C173" s="16" t="s">
        <v>558</v>
      </c>
      <c r="D173">
        <v>2022</v>
      </c>
      <c r="E173" s="16" t="s">
        <v>210</v>
      </c>
      <c r="F173" s="16" t="s">
        <v>214</v>
      </c>
      <c r="G173" s="16" t="s">
        <v>224</v>
      </c>
      <c r="H173" s="16" t="s">
        <v>361</v>
      </c>
      <c r="I173">
        <v>3</v>
      </c>
      <c r="J173">
        <v>54</v>
      </c>
      <c r="K173">
        <v>162</v>
      </c>
      <c r="L173">
        <v>45.93</v>
      </c>
      <c r="M173">
        <v>0.283518518518518</v>
      </c>
    </row>
    <row r="174" spans="1:13" x14ac:dyDescent="0.25">
      <c r="A174" s="16" t="s">
        <v>182</v>
      </c>
      <c r="B174" s="17">
        <v>45084</v>
      </c>
      <c r="C174" s="16" t="s">
        <v>560</v>
      </c>
      <c r="D174">
        <v>2023</v>
      </c>
      <c r="E174" s="16" t="s">
        <v>212</v>
      </c>
      <c r="F174" s="16" t="s">
        <v>216</v>
      </c>
      <c r="G174" s="16" t="s">
        <v>223</v>
      </c>
      <c r="H174" s="16" t="s">
        <v>362</v>
      </c>
      <c r="I174">
        <v>4</v>
      </c>
      <c r="J174">
        <v>185</v>
      </c>
      <c r="K174">
        <v>740</v>
      </c>
      <c r="L174">
        <v>136.94999999999999</v>
      </c>
      <c r="M174">
        <v>0.18506756756756801</v>
      </c>
    </row>
    <row r="175" spans="1:13" x14ac:dyDescent="0.25">
      <c r="A175" s="16" t="s">
        <v>183</v>
      </c>
      <c r="B175" s="17">
        <v>45262</v>
      </c>
      <c r="C175" s="16" t="s">
        <v>558</v>
      </c>
      <c r="D175">
        <v>2023</v>
      </c>
      <c r="E175" s="16" t="s">
        <v>210</v>
      </c>
      <c r="F175" s="16" t="s">
        <v>216</v>
      </c>
      <c r="G175" s="16" t="s">
        <v>223</v>
      </c>
      <c r="H175" s="16" t="s">
        <v>363</v>
      </c>
      <c r="I175">
        <v>7</v>
      </c>
      <c r="J175">
        <v>476</v>
      </c>
      <c r="K175">
        <v>3332</v>
      </c>
      <c r="L175">
        <v>745.28</v>
      </c>
      <c r="M175">
        <v>0.22367346938775501</v>
      </c>
    </row>
    <row r="176" spans="1:13" x14ac:dyDescent="0.25">
      <c r="A176" s="16" t="s">
        <v>184</v>
      </c>
      <c r="B176" s="17">
        <v>44604</v>
      </c>
      <c r="C176" s="16" t="s">
        <v>556</v>
      </c>
      <c r="D176">
        <v>2022</v>
      </c>
      <c r="E176" s="16" t="s">
        <v>212</v>
      </c>
      <c r="F176" s="16" t="s">
        <v>215</v>
      </c>
      <c r="G176" s="16" t="s">
        <v>225</v>
      </c>
      <c r="H176" s="16" t="s">
        <v>364</v>
      </c>
      <c r="I176">
        <v>1</v>
      </c>
      <c r="J176">
        <v>415</v>
      </c>
      <c r="K176">
        <v>415</v>
      </c>
      <c r="L176">
        <v>111.03</v>
      </c>
      <c r="M176">
        <v>0.26754216867469899</v>
      </c>
    </row>
    <row r="177" spans="1:13" x14ac:dyDescent="0.25">
      <c r="A177" s="16" t="s">
        <v>185</v>
      </c>
      <c r="B177" s="17">
        <v>45130</v>
      </c>
      <c r="C177" s="16" t="s">
        <v>559</v>
      </c>
      <c r="D177">
        <v>2023</v>
      </c>
      <c r="E177" s="16" t="s">
        <v>211</v>
      </c>
      <c r="F177" s="16" t="s">
        <v>214</v>
      </c>
      <c r="G177" s="16" t="s">
        <v>217</v>
      </c>
      <c r="H177" s="16" t="s">
        <v>234</v>
      </c>
      <c r="I177">
        <v>10</v>
      </c>
      <c r="J177">
        <v>316</v>
      </c>
      <c r="K177">
        <v>3160</v>
      </c>
      <c r="L177">
        <v>611.15</v>
      </c>
      <c r="M177">
        <v>0.19340189873417701</v>
      </c>
    </row>
    <row r="178" spans="1:13" x14ac:dyDescent="0.25">
      <c r="A178" s="16" t="s">
        <v>186</v>
      </c>
      <c r="B178" s="17">
        <v>44681</v>
      </c>
      <c r="C178" s="16" t="s">
        <v>561</v>
      </c>
      <c r="D178">
        <v>2022</v>
      </c>
      <c r="E178" s="16" t="s">
        <v>211</v>
      </c>
      <c r="F178" s="16" t="s">
        <v>216</v>
      </c>
      <c r="G178" s="16" t="s">
        <v>223</v>
      </c>
      <c r="H178" s="16" t="s">
        <v>328</v>
      </c>
      <c r="I178">
        <v>1</v>
      </c>
      <c r="J178">
        <v>401</v>
      </c>
      <c r="K178">
        <v>401</v>
      </c>
      <c r="L178">
        <v>81.23</v>
      </c>
      <c r="M178">
        <v>0.20256857855361601</v>
      </c>
    </row>
    <row r="179" spans="1:13" x14ac:dyDescent="0.25">
      <c r="A179" s="16" t="s">
        <v>187</v>
      </c>
      <c r="B179" s="17">
        <v>44916</v>
      </c>
      <c r="C179" s="16" t="s">
        <v>558</v>
      </c>
      <c r="D179">
        <v>2022</v>
      </c>
      <c r="E179" s="16" t="s">
        <v>211</v>
      </c>
      <c r="F179" s="16" t="s">
        <v>216</v>
      </c>
      <c r="G179" s="16" t="s">
        <v>221</v>
      </c>
      <c r="H179" s="16" t="s">
        <v>365</v>
      </c>
      <c r="I179">
        <v>5</v>
      </c>
      <c r="J179">
        <v>357</v>
      </c>
      <c r="K179">
        <v>1785</v>
      </c>
      <c r="L179">
        <v>392.54</v>
      </c>
      <c r="M179">
        <v>0.21991036414565801</v>
      </c>
    </row>
    <row r="180" spans="1:13" x14ac:dyDescent="0.25">
      <c r="A180" s="16" t="s">
        <v>188</v>
      </c>
      <c r="B180" s="17">
        <v>44891</v>
      </c>
      <c r="C180" s="16" t="s">
        <v>554</v>
      </c>
      <c r="D180">
        <v>2022</v>
      </c>
      <c r="E180" s="16" t="s">
        <v>213</v>
      </c>
      <c r="F180" s="16" t="s">
        <v>215</v>
      </c>
      <c r="G180" s="16" t="s">
        <v>218</v>
      </c>
      <c r="H180" s="16" t="s">
        <v>244</v>
      </c>
      <c r="I180">
        <v>5</v>
      </c>
      <c r="J180">
        <v>411</v>
      </c>
      <c r="K180">
        <v>2055</v>
      </c>
      <c r="L180">
        <v>252.36</v>
      </c>
      <c r="M180">
        <v>0.12280291970802901</v>
      </c>
    </row>
    <row r="181" spans="1:13" x14ac:dyDescent="0.25">
      <c r="A181" s="16" t="s">
        <v>189</v>
      </c>
      <c r="B181" s="17">
        <v>45163</v>
      </c>
      <c r="C181" s="16" t="s">
        <v>555</v>
      </c>
      <c r="D181">
        <v>2023</v>
      </c>
      <c r="E181" s="16" t="s">
        <v>213</v>
      </c>
      <c r="F181" s="16" t="s">
        <v>214</v>
      </c>
      <c r="G181" s="16" t="s">
        <v>220</v>
      </c>
      <c r="H181" s="16" t="s">
        <v>366</v>
      </c>
      <c r="I181">
        <v>3</v>
      </c>
      <c r="J181">
        <v>107</v>
      </c>
      <c r="K181">
        <v>321</v>
      </c>
      <c r="L181">
        <v>76.52</v>
      </c>
      <c r="M181">
        <v>0.23838006230529599</v>
      </c>
    </row>
    <row r="182" spans="1:13" x14ac:dyDescent="0.25">
      <c r="A182" s="16" t="s">
        <v>190</v>
      </c>
      <c r="B182" s="17">
        <v>44982</v>
      </c>
      <c r="C182" s="16" t="s">
        <v>556</v>
      </c>
      <c r="D182">
        <v>2023</v>
      </c>
      <c r="E182" s="16" t="s">
        <v>211</v>
      </c>
      <c r="F182" s="16" t="s">
        <v>216</v>
      </c>
      <c r="G182" s="16" t="s">
        <v>223</v>
      </c>
      <c r="H182" s="16" t="s">
        <v>329</v>
      </c>
      <c r="I182">
        <v>10</v>
      </c>
      <c r="J182">
        <v>374</v>
      </c>
      <c r="K182">
        <v>3740</v>
      </c>
      <c r="L182">
        <v>499.11</v>
      </c>
      <c r="M182">
        <v>0.13345187165775399</v>
      </c>
    </row>
    <row r="183" spans="1:13" x14ac:dyDescent="0.25">
      <c r="A183" s="16" t="s">
        <v>191</v>
      </c>
      <c r="B183" s="17">
        <v>45197</v>
      </c>
      <c r="C183" s="16" t="s">
        <v>562</v>
      </c>
      <c r="D183">
        <v>2023</v>
      </c>
      <c r="E183" s="16" t="s">
        <v>210</v>
      </c>
      <c r="F183" s="16" t="s">
        <v>214</v>
      </c>
      <c r="G183" s="16" t="s">
        <v>224</v>
      </c>
      <c r="H183" s="16" t="s">
        <v>367</v>
      </c>
      <c r="I183">
        <v>2</v>
      </c>
      <c r="J183">
        <v>254</v>
      </c>
      <c r="K183">
        <v>508</v>
      </c>
      <c r="L183">
        <v>96.34</v>
      </c>
      <c r="M183">
        <v>0.189645669291339</v>
      </c>
    </row>
    <row r="184" spans="1:13" x14ac:dyDescent="0.25">
      <c r="A184" s="16" t="s">
        <v>192</v>
      </c>
      <c r="B184" s="17">
        <v>44767</v>
      </c>
      <c r="C184" s="16" t="s">
        <v>559</v>
      </c>
      <c r="D184">
        <v>2022</v>
      </c>
      <c r="E184" s="16" t="s">
        <v>211</v>
      </c>
      <c r="F184" s="16" t="s">
        <v>216</v>
      </c>
      <c r="G184" s="16" t="s">
        <v>219</v>
      </c>
      <c r="H184" s="16" t="s">
        <v>344</v>
      </c>
      <c r="I184">
        <v>5</v>
      </c>
      <c r="J184">
        <v>176</v>
      </c>
      <c r="K184">
        <v>880</v>
      </c>
      <c r="L184">
        <v>139.31</v>
      </c>
      <c r="M184">
        <v>0.15830681818181799</v>
      </c>
    </row>
    <row r="185" spans="1:13" x14ac:dyDescent="0.25">
      <c r="A185" s="16" t="s">
        <v>193</v>
      </c>
      <c r="B185" s="17">
        <v>45140</v>
      </c>
      <c r="C185" s="16" t="s">
        <v>555</v>
      </c>
      <c r="D185">
        <v>2023</v>
      </c>
      <c r="E185" s="16" t="s">
        <v>213</v>
      </c>
      <c r="F185" s="16" t="s">
        <v>215</v>
      </c>
      <c r="G185" s="16" t="s">
        <v>222</v>
      </c>
      <c r="H185" s="16" t="s">
        <v>368</v>
      </c>
      <c r="I185">
        <v>2</v>
      </c>
      <c r="J185">
        <v>66</v>
      </c>
      <c r="K185">
        <v>132</v>
      </c>
      <c r="L185">
        <v>36.520000000000003</v>
      </c>
      <c r="M185">
        <v>0.276666666666667</v>
      </c>
    </row>
    <row r="186" spans="1:13" x14ac:dyDescent="0.25">
      <c r="A186" s="16" t="s">
        <v>194</v>
      </c>
      <c r="B186" s="17">
        <v>44787</v>
      </c>
      <c r="C186" s="16" t="s">
        <v>555</v>
      </c>
      <c r="D186">
        <v>2022</v>
      </c>
      <c r="E186" s="16" t="s">
        <v>213</v>
      </c>
      <c r="F186" s="16" t="s">
        <v>214</v>
      </c>
      <c r="G186" s="16" t="s">
        <v>224</v>
      </c>
      <c r="H186" s="16" t="s">
        <v>369</v>
      </c>
      <c r="I186">
        <v>7</v>
      </c>
      <c r="J186">
        <v>260</v>
      </c>
      <c r="K186">
        <v>1820</v>
      </c>
      <c r="L186">
        <v>256.19</v>
      </c>
      <c r="M186">
        <v>0.14076373626373601</v>
      </c>
    </row>
    <row r="187" spans="1:13" x14ac:dyDescent="0.25">
      <c r="A187" s="16" t="s">
        <v>195</v>
      </c>
      <c r="B187" s="17">
        <v>44719</v>
      </c>
      <c r="C187" s="16" t="s">
        <v>560</v>
      </c>
      <c r="D187">
        <v>2022</v>
      </c>
      <c r="E187" s="16" t="s">
        <v>213</v>
      </c>
      <c r="F187" s="16" t="s">
        <v>216</v>
      </c>
      <c r="G187" s="16" t="s">
        <v>223</v>
      </c>
      <c r="H187" s="16" t="s">
        <v>292</v>
      </c>
      <c r="I187">
        <v>3</v>
      </c>
      <c r="J187">
        <v>420</v>
      </c>
      <c r="K187">
        <v>1260</v>
      </c>
      <c r="L187">
        <v>315.22000000000003</v>
      </c>
      <c r="M187">
        <v>0.25017460317460299</v>
      </c>
    </row>
    <row r="188" spans="1:13" x14ac:dyDescent="0.25">
      <c r="A188" s="16" t="s">
        <v>196</v>
      </c>
      <c r="B188" s="17">
        <v>45235</v>
      </c>
      <c r="C188" s="16" t="s">
        <v>554</v>
      </c>
      <c r="D188">
        <v>2023</v>
      </c>
      <c r="E188" s="16" t="s">
        <v>213</v>
      </c>
      <c r="F188" s="16" t="s">
        <v>214</v>
      </c>
      <c r="G188" s="16" t="s">
        <v>220</v>
      </c>
      <c r="H188" s="16" t="s">
        <v>250</v>
      </c>
      <c r="I188">
        <v>4</v>
      </c>
      <c r="J188">
        <v>457</v>
      </c>
      <c r="K188">
        <v>1828</v>
      </c>
      <c r="L188">
        <v>495.65</v>
      </c>
      <c r="M188">
        <v>0.27114332603938701</v>
      </c>
    </row>
    <row r="189" spans="1:13" x14ac:dyDescent="0.25">
      <c r="A189" s="16" t="s">
        <v>197</v>
      </c>
      <c r="B189" s="17">
        <v>44706</v>
      </c>
      <c r="C189" s="16" t="s">
        <v>553</v>
      </c>
      <c r="D189">
        <v>2022</v>
      </c>
      <c r="E189" s="16" t="s">
        <v>210</v>
      </c>
      <c r="F189" s="16" t="s">
        <v>216</v>
      </c>
      <c r="G189" s="16" t="s">
        <v>221</v>
      </c>
      <c r="H189" s="16" t="s">
        <v>266</v>
      </c>
      <c r="I189">
        <v>6</v>
      </c>
      <c r="J189">
        <v>80</v>
      </c>
      <c r="K189">
        <v>480</v>
      </c>
      <c r="L189">
        <v>136.66999999999999</v>
      </c>
      <c r="M189">
        <v>0.28472916666666698</v>
      </c>
    </row>
    <row r="190" spans="1:13" x14ac:dyDescent="0.25">
      <c r="A190" s="16" t="s">
        <v>198</v>
      </c>
      <c r="B190" s="17">
        <v>44645</v>
      </c>
      <c r="C190" s="16" t="s">
        <v>563</v>
      </c>
      <c r="D190">
        <v>2022</v>
      </c>
      <c r="E190" s="16" t="s">
        <v>212</v>
      </c>
      <c r="F190" s="16" t="s">
        <v>214</v>
      </c>
      <c r="G190" s="16" t="s">
        <v>220</v>
      </c>
      <c r="H190" s="16" t="s">
        <v>370</v>
      </c>
      <c r="I190">
        <v>2</v>
      </c>
      <c r="J190">
        <v>221</v>
      </c>
      <c r="K190">
        <v>442</v>
      </c>
      <c r="L190">
        <v>86.22</v>
      </c>
      <c r="M190">
        <v>0.19506787330316699</v>
      </c>
    </row>
    <row r="191" spans="1:13" x14ac:dyDescent="0.25">
      <c r="A191" s="16" t="s">
        <v>199</v>
      </c>
      <c r="B191" s="17">
        <v>45262</v>
      </c>
      <c r="C191" s="16" t="s">
        <v>558</v>
      </c>
      <c r="D191">
        <v>2023</v>
      </c>
      <c r="E191" s="16" t="s">
        <v>211</v>
      </c>
      <c r="F191" s="16" t="s">
        <v>216</v>
      </c>
      <c r="G191" s="16" t="s">
        <v>221</v>
      </c>
      <c r="H191" s="16" t="s">
        <v>300</v>
      </c>
      <c r="I191">
        <v>1</v>
      </c>
      <c r="J191">
        <v>198</v>
      </c>
      <c r="K191">
        <v>198</v>
      </c>
      <c r="L191">
        <v>34.880000000000003</v>
      </c>
      <c r="M191">
        <v>0.17616161616161599</v>
      </c>
    </row>
    <row r="192" spans="1:13" x14ac:dyDescent="0.25">
      <c r="A192" s="16" t="s">
        <v>200</v>
      </c>
      <c r="B192" s="17">
        <v>44733</v>
      </c>
      <c r="C192" s="16" t="s">
        <v>560</v>
      </c>
      <c r="D192">
        <v>2022</v>
      </c>
      <c r="E192" s="16" t="s">
        <v>211</v>
      </c>
      <c r="F192" s="16" t="s">
        <v>215</v>
      </c>
      <c r="G192" s="16" t="s">
        <v>218</v>
      </c>
      <c r="H192" s="16" t="s">
        <v>244</v>
      </c>
      <c r="I192">
        <v>7</v>
      </c>
      <c r="J192">
        <v>405</v>
      </c>
      <c r="K192">
        <v>2835</v>
      </c>
      <c r="L192">
        <v>601.44000000000005</v>
      </c>
      <c r="M192">
        <v>0.212148148148148</v>
      </c>
    </row>
    <row r="193" spans="1:13" x14ac:dyDescent="0.25">
      <c r="A193" s="16" t="s">
        <v>201</v>
      </c>
      <c r="B193" s="17">
        <v>45120</v>
      </c>
      <c r="C193" s="16" t="s">
        <v>559</v>
      </c>
      <c r="D193">
        <v>2023</v>
      </c>
      <c r="E193" s="16" t="s">
        <v>210</v>
      </c>
      <c r="F193" s="16" t="s">
        <v>215</v>
      </c>
      <c r="G193" s="16" t="s">
        <v>225</v>
      </c>
      <c r="H193" s="16" t="s">
        <v>371</v>
      </c>
      <c r="I193">
        <v>1</v>
      </c>
      <c r="J193">
        <v>70</v>
      </c>
      <c r="K193">
        <v>70</v>
      </c>
      <c r="L193">
        <v>10.029999999999999</v>
      </c>
      <c r="M193">
        <v>0.14328571428571399</v>
      </c>
    </row>
    <row r="194" spans="1:13" x14ac:dyDescent="0.25">
      <c r="A194" s="16" t="s">
        <v>202</v>
      </c>
      <c r="B194" s="17">
        <v>45189</v>
      </c>
      <c r="C194" s="16" t="s">
        <v>562</v>
      </c>
      <c r="D194">
        <v>2023</v>
      </c>
      <c r="E194" s="16" t="s">
        <v>210</v>
      </c>
      <c r="F194" s="16" t="s">
        <v>215</v>
      </c>
      <c r="G194" s="16" t="s">
        <v>218</v>
      </c>
      <c r="H194" s="16" t="s">
        <v>372</v>
      </c>
      <c r="I194">
        <v>5</v>
      </c>
      <c r="J194">
        <v>352</v>
      </c>
      <c r="K194">
        <v>1760</v>
      </c>
      <c r="L194">
        <v>331.63</v>
      </c>
      <c r="M194">
        <v>0.188426136363636</v>
      </c>
    </row>
    <row r="195" spans="1:13" x14ac:dyDescent="0.25">
      <c r="A195" s="16" t="s">
        <v>203</v>
      </c>
      <c r="B195" s="17">
        <v>44844</v>
      </c>
      <c r="C195" s="16" t="s">
        <v>557</v>
      </c>
      <c r="D195">
        <v>2022</v>
      </c>
      <c r="E195" s="16" t="s">
        <v>211</v>
      </c>
      <c r="F195" s="16" t="s">
        <v>214</v>
      </c>
      <c r="G195" s="16" t="s">
        <v>224</v>
      </c>
      <c r="H195" s="16" t="s">
        <v>373</v>
      </c>
      <c r="I195">
        <v>10</v>
      </c>
      <c r="J195">
        <v>311</v>
      </c>
      <c r="K195">
        <v>3110</v>
      </c>
      <c r="L195">
        <v>370.82</v>
      </c>
      <c r="M195">
        <v>0.119234726688103</v>
      </c>
    </row>
    <row r="196" spans="1:13" x14ac:dyDescent="0.25">
      <c r="A196" s="16" t="s">
        <v>204</v>
      </c>
      <c r="B196" s="17">
        <v>45215</v>
      </c>
      <c r="C196" s="16" t="s">
        <v>557</v>
      </c>
      <c r="D196">
        <v>2023</v>
      </c>
      <c r="E196" s="16" t="s">
        <v>213</v>
      </c>
      <c r="F196" s="16" t="s">
        <v>216</v>
      </c>
      <c r="G196" s="16" t="s">
        <v>223</v>
      </c>
      <c r="H196" s="16" t="s">
        <v>328</v>
      </c>
      <c r="I196">
        <v>4</v>
      </c>
      <c r="J196">
        <v>197</v>
      </c>
      <c r="K196">
        <v>788</v>
      </c>
      <c r="L196">
        <v>177.5</v>
      </c>
      <c r="M196">
        <v>0.22525380710659901</v>
      </c>
    </row>
    <row r="197" spans="1:13" x14ac:dyDescent="0.25">
      <c r="A197" s="16" t="s">
        <v>205</v>
      </c>
      <c r="B197" s="17">
        <v>44792</v>
      </c>
      <c r="C197" s="16" t="s">
        <v>555</v>
      </c>
      <c r="D197">
        <v>2022</v>
      </c>
      <c r="E197" s="16" t="s">
        <v>212</v>
      </c>
      <c r="F197" s="16" t="s">
        <v>214</v>
      </c>
      <c r="G197" s="16" t="s">
        <v>220</v>
      </c>
      <c r="H197" s="16" t="s">
        <v>374</v>
      </c>
      <c r="I197">
        <v>6</v>
      </c>
      <c r="J197">
        <v>333</v>
      </c>
      <c r="K197">
        <v>1998</v>
      </c>
      <c r="L197">
        <v>364.85</v>
      </c>
      <c r="M197">
        <v>0.182607607607608</v>
      </c>
    </row>
    <row r="198" spans="1:13" x14ac:dyDescent="0.25">
      <c r="A198" s="16" t="s">
        <v>206</v>
      </c>
      <c r="B198" s="17">
        <v>44855</v>
      </c>
      <c r="C198" s="16" t="s">
        <v>557</v>
      </c>
      <c r="D198">
        <v>2022</v>
      </c>
      <c r="E198" s="16" t="s">
        <v>212</v>
      </c>
      <c r="F198" s="16" t="s">
        <v>214</v>
      </c>
      <c r="G198" s="16" t="s">
        <v>220</v>
      </c>
      <c r="H198" s="16" t="s">
        <v>325</v>
      </c>
      <c r="I198">
        <v>2</v>
      </c>
      <c r="J198">
        <v>76</v>
      </c>
      <c r="K198">
        <v>152</v>
      </c>
      <c r="L198">
        <v>30.47</v>
      </c>
      <c r="M198">
        <v>0.20046052631578901</v>
      </c>
    </row>
    <row r="199" spans="1:13" x14ac:dyDescent="0.25">
      <c r="A199" s="16" t="s">
        <v>207</v>
      </c>
      <c r="B199" s="17">
        <v>44736</v>
      </c>
      <c r="C199" s="16" t="s">
        <v>560</v>
      </c>
      <c r="D199">
        <v>2022</v>
      </c>
      <c r="E199" s="16" t="s">
        <v>210</v>
      </c>
      <c r="F199" s="16" t="s">
        <v>214</v>
      </c>
      <c r="G199" s="16" t="s">
        <v>220</v>
      </c>
      <c r="H199" s="16" t="s">
        <v>278</v>
      </c>
      <c r="I199">
        <v>5</v>
      </c>
      <c r="J199">
        <v>243</v>
      </c>
      <c r="K199">
        <v>1215</v>
      </c>
      <c r="L199">
        <v>146.46</v>
      </c>
      <c r="M199">
        <v>0.120543209876543</v>
      </c>
    </row>
    <row r="200" spans="1:13" x14ac:dyDescent="0.25">
      <c r="A200" s="16" t="s">
        <v>208</v>
      </c>
      <c r="B200" s="17">
        <v>45214</v>
      </c>
      <c r="C200" s="16" t="s">
        <v>557</v>
      </c>
      <c r="D200">
        <v>2023</v>
      </c>
      <c r="E200" s="16" t="s">
        <v>213</v>
      </c>
      <c r="F200" s="16" t="s">
        <v>215</v>
      </c>
      <c r="G200" s="16" t="s">
        <v>225</v>
      </c>
      <c r="H200" s="16" t="s">
        <v>356</v>
      </c>
      <c r="I200">
        <v>3</v>
      </c>
      <c r="J200">
        <v>115</v>
      </c>
      <c r="K200">
        <v>345</v>
      </c>
      <c r="L200">
        <v>71.040000000000006</v>
      </c>
      <c r="M200">
        <v>0.205913043478261</v>
      </c>
    </row>
    <row r="201" spans="1:13" x14ac:dyDescent="0.25">
      <c r="A201" s="16" t="s">
        <v>209</v>
      </c>
      <c r="B201" s="17">
        <v>45210</v>
      </c>
      <c r="C201" s="16" t="s">
        <v>557</v>
      </c>
      <c r="D201">
        <v>2023</v>
      </c>
      <c r="E201" s="16" t="s">
        <v>212</v>
      </c>
      <c r="F201" s="16" t="s">
        <v>215</v>
      </c>
      <c r="G201" s="16" t="s">
        <v>218</v>
      </c>
      <c r="H201" s="16" t="s">
        <v>372</v>
      </c>
      <c r="I201">
        <v>1</v>
      </c>
      <c r="J201">
        <v>97</v>
      </c>
      <c r="K201">
        <v>97</v>
      </c>
      <c r="L201">
        <v>12.97</v>
      </c>
      <c r="M201">
        <v>0.133711340206186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201"/>
  <sheetViews>
    <sheetView tabSelected="1" workbookViewId="0">
      <selection activeCell="A2" sqref="A1:M201"/>
    </sheetView>
  </sheetViews>
  <sheetFormatPr defaultRowHeight="15" x14ac:dyDescent="0.25"/>
  <cols>
    <col min="1" max="1" width="10.140625" customWidth="1"/>
    <col min="2" max="2" width="12.42578125" customWidth="1"/>
    <col min="3" max="4" width="10.42578125" customWidth="1"/>
    <col min="5" max="5" width="9.28515625" customWidth="1"/>
    <col min="6" max="6" width="14.5703125" bestFit="1" customWidth="1"/>
    <col min="7" max="7" width="14.28515625" customWidth="1"/>
    <col min="8" max="8" width="20.140625" bestFit="1" customWidth="1"/>
    <col min="9" max="9" width="10.85546875" customWidth="1"/>
    <col min="10" max="10" width="11.42578125" customWidth="1"/>
    <col min="11" max="11" width="7.7109375" customWidth="1"/>
    <col min="12" max="12" width="8.140625" customWidth="1"/>
    <col min="13" max="13" width="14.85546875" customWidth="1"/>
  </cols>
  <sheetData>
    <row r="1" spans="1:13" x14ac:dyDescent="0.25">
      <c r="A1" s="7" t="s">
        <v>0</v>
      </c>
      <c r="B1" s="2" t="s">
        <v>1</v>
      </c>
      <c r="C1" s="3" t="s">
        <v>551</v>
      </c>
      <c r="D1" s="2" t="s">
        <v>376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9" t="s">
        <v>375</v>
      </c>
    </row>
    <row r="2" spans="1:13" x14ac:dyDescent="0.25">
      <c r="A2" s="8" t="s">
        <v>10</v>
      </c>
      <c r="B2" s="5" t="s">
        <v>377</v>
      </c>
      <c r="C2" s="6">
        <f>YEAR(B2)</f>
        <v>2022</v>
      </c>
      <c r="D2" s="5" t="str">
        <f>TEXT(B2,"mmm")</f>
        <v>Jan</v>
      </c>
      <c r="E2" s="4" t="s">
        <v>210</v>
      </c>
      <c r="F2" s="4" t="s">
        <v>214</v>
      </c>
      <c r="G2" s="4" t="s">
        <v>217</v>
      </c>
      <c r="H2" s="4" t="s">
        <v>226</v>
      </c>
      <c r="I2" s="4">
        <v>7</v>
      </c>
      <c r="J2" s="4">
        <v>217</v>
      </c>
      <c r="K2" s="4">
        <v>1519</v>
      </c>
      <c r="L2" s="4">
        <v>412.06</v>
      </c>
      <c r="M2" s="10">
        <f>IF(K2=0,0,L2/K2)</f>
        <v>0.27127057274522715</v>
      </c>
    </row>
    <row r="3" spans="1:13" x14ac:dyDescent="0.25">
      <c r="A3" s="8" t="s">
        <v>11</v>
      </c>
      <c r="B3" s="5" t="s">
        <v>378</v>
      </c>
      <c r="C3" s="6">
        <f>YEAR(B3)</f>
        <v>2022</v>
      </c>
      <c r="D3" s="5" t="str">
        <f t="shared" ref="D3:D66" si="0">TEXT(B3,"mmm")</f>
        <v>May</v>
      </c>
      <c r="E3" s="4" t="s">
        <v>210</v>
      </c>
      <c r="F3" s="4" t="s">
        <v>215</v>
      </c>
      <c r="G3" s="4" t="s">
        <v>218</v>
      </c>
      <c r="H3" s="4" t="s">
        <v>227</v>
      </c>
      <c r="I3" s="4">
        <v>4</v>
      </c>
      <c r="J3" s="4">
        <v>348</v>
      </c>
      <c r="K3" s="4">
        <v>1392</v>
      </c>
      <c r="L3" s="4">
        <v>141.07</v>
      </c>
      <c r="M3" s="10">
        <f t="shared" ref="M3:M66" si="1">IF(K3=0,0,L3/K3)</f>
        <v>0.1013433908045977</v>
      </c>
    </row>
    <row r="4" spans="1:13" x14ac:dyDescent="0.25">
      <c r="A4" s="8" t="s">
        <v>12</v>
      </c>
      <c r="B4" s="5" t="s">
        <v>379</v>
      </c>
      <c r="C4" s="6">
        <f>YEAR(B4)</f>
        <v>2022</v>
      </c>
      <c r="D4" s="5" t="str">
        <f t="shared" si="0"/>
        <v>Jan</v>
      </c>
      <c r="E4" s="4" t="s">
        <v>211</v>
      </c>
      <c r="F4" s="4" t="s">
        <v>215</v>
      </c>
      <c r="G4" s="4" t="s">
        <v>218</v>
      </c>
      <c r="H4" s="4" t="s">
        <v>228</v>
      </c>
      <c r="I4" s="4">
        <v>3</v>
      </c>
      <c r="J4" s="4">
        <v>364</v>
      </c>
      <c r="K4" s="4">
        <v>1092</v>
      </c>
      <c r="L4" s="4">
        <v>264.07</v>
      </c>
      <c r="M4" s="10">
        <f t="shared" si="1"/>
        <v>0.24182234432234431</v>
      </c>
    </row>
    <row r="5" spans="1:13" x14ac:dyDescent="0.25">
      <c r="A5" s="8" t="s">
        <v>13</v>
      </c>
      <c r="B5" s="5" t="s">
        <v>380</v>
      </c>
      <c r="C5" s="6">
        <f>YEAR(B5)</f>
        <v>2023</v>
      </c>
      <c r="D5" s="5" t="str">
        <f t="shared" si="0"/>
        <v>Nov</v>
      </c>
      <c r="E5" s="4" t="s">
        <v>210</v>
      </c>
      <c r="F5" s="4" t="s">
        <v>216</v>
      </c>
      <c r="G5" s="4" t="s">
        <v>219</v>
      </c>
      <c r="H5" s="4" t="s">
        <v>229</v>
      </c>
      <c r="I5" s="4">
        <v>3</v>
      </c>
      <c r="J5" s="4">
        <v>400</v>
      </c>
      <c r="K5" s="4">
        <v>1200</v>
      </c>
      <c r="L5" s="4">
        <v>178.28</v>
      </c>
      <c r="M5" s="10">
        <f t="shared" si="1"/>
        <v>0.14856666666666668</v>
      </c>
    </row>
    <row r="6" spans="1:13" x14ac:dyDescent="0.25">
      <c r="A6" s="8" t="s">
        <v>14</v>
      </c>
      <c r="B6" s="5" t="s">
        <v>381</v>
      </c>
      <c r="C6" s="6">
        <f>YEAR(B6)</f>
        <v>2023</v>
      </c>
      <c r="D6" s="5" t="str">
        <f t="shared" si="0"/>
        <v>Aug</v>
      </c>
      <c r="E6" s="4" t="s">
        <v>212</v>
      </c>
      <c r="F6" s="4" t="s">
        <v>214</v>
      </c>
      <c r="G6" s="4" t="s">
        <v>220</v>
      </c>
      <c r="H6" s="4" t="s">
        <v>230</v>
      </c>
      <c r="I6" s="4">
        <v>4</v>
      </c>
      <c r="J6" s="4">
        <v>474</v>
      </c>
      <c r="K6" s="4">
        <v>1896</v>
      </c>
      <c r="L6" s="4">
        <v>204.02</v>
      </c>
      <c r="M6" s="10">
        <f t="shared" si="1"/>
        <v>0.10760548523206752</v>
      </c>
    </row>
    <row r="7" spans="1:13" x14ac:dyDescent="0.25">
      <c r="A7" s="8" t="s">
        <v>15</v>
      </c>
      <c r="B7" s="5" t="s">
        <v>382</v>
      </c>
      <c r="C7" s="6">
        <f>YEAR(B7)</f>
        <v>2022</v>
      </c>
      <c r="D7" s="5" t="str">
        <f t="shared" si="0"/>
        <v>Feb</v>
      </c>
      <c r="E7" s="4" t="s">
        <v>212</v>
      </c>
      <c r="F7" s="4" t="s">
        <v>216</v>
      </c>
      <c r="G7" s="4" t="s">
        <v>221</v>
      </c>
      <c r="H7" s="4" t="s">
        <v>231</v>
      </c>
      <c r="I7" s="4">
        <v>6</v>
      </c>
      <c r="J7" s="4">
        <v>190</v>
      </c>
      <c r="K7" s="4">
        <v>1140</v>
      </c>
      <c r="L7" s="4">
        <v>335.31</v>
      </c>
      <c r="M7" s="10">
        <f t="shared" si="1"/>
        <v>0.29413157894736841</v>
      </c>
    </row>
    <row r="8" spans="1:13" x14ac:dyDescent="0.25">
      <c r="A8" s="8" t="s">
        <v>16</v>
      </c>
      <c r="B8" s="5" t="s">
        <v>383</v>
      </c>
      <c r="C8" s="6">
        <f>YEAR(B8)</f>
        <v>2023</v>
      </c>
      <c r="D8" s="5" t="str">
        <f t="shared" si="0"/>
        <v>Feb</v>
      </c>
      <c r="E8" s="4" t="s">
        <v>211</v>
      </c>
      <c r="F8" s="4" t="s">
        <v>216</v>
      </c>
      <c r="G8" s="4" t="s">
        <v>221</v>
      </c>
      <c r="H8" s="4" t="s">
        <v>232</v>
      </c>
      <c r="I8" s="4">
        <v>2</v>
      </c>
      <c r="J8" s="4">
        <v>324</v>
      </c>
      <c r="K8" s="4">
        <v>648</v>
      </c>
      <c r="L8" s="4">
        <v>89.01</v>
      </c>
      <c r="M8" s="10">
        <f t="shared" si="1"/>
        <v>0.13736111111111113</v>
      </c>
    </row>
    <row r="9" spans="1:13" x14ac:dyDescent="0.25">
      <c r="A9" s="8" t="s">
        <v>17</v>
      </c>
      <c r="B9" s="5" t="s">
        <v>384</v>
      </c>
      <c r="C9" s="6">
        <f>YEAR(B9)</f>
        <v>2022</v>
      </c>
      <c r="D9" s="5" t="str">
        <f t="shared" si="0"/>
        <v>Oct</v>
      </c>
      <c r="E9" s="4" t="s">
        <v>211</v>
      </c>
      <c r="F9" s="4" t="s">
        <v>215</v>
      </c>
      <c r="G9" s="4" t="s">
        <v>222</v>
      </c>
      <c r="H9" s="4" t="s">
        <v>233</v>
      </c>
      <c r="I9" s="4">
        <v>2</v>
      </c>
      <c r="J9" s="4">
        <v>190</v>
      </c>
      <c r="K9" s="4">
        <v>380</v>
      </c>
      <c r="L9" s="4">
        <v>78.599999999999994</v>
      </c>
      <c r="M9" s="10">
        <f t="shared" si="1"/>
        <v>0.20684210526315788</v>
      </c>
    </row>
    <row r="10" spans="1:13" x14ac:dyDescent="0.25">
      <c r="A10" s="8" t="s">
        <v>18</v>
      </c>
      <c r="B10" s="5" t="s">
        <v>385</v>
      </c>
      <c r="C10" s="6">
        <f>YEAR(B10)</f>
        <v>2022</v>
      </c>
      <c r="D10" s="5" t="str">
        <f t="shared" si="0"/>
        <v>Dec</v>
      </c>
      <c r="E10" s="4" t="s">
        <v>213</v>
      </c>
      <c r="F10" s="4" t="s">
        <v>214</v>
      </c>
      <c r="G10" s="4" t="s">
        <v>217</v>
      </c>
      <c r="H10" s="4" t="s">
        <v>234</v>
      </c>
      <c r="I10" s="4">
        <v>5</v>
      </c>
      <c r="J10" s="4">
        <v>83</v>
      </c>
      <c r="K10" s="4">
        <v>415</v>
      </c>
      <c r="L10" s="4">
        <v>59.78</v>
      </c>
      <c r="M10" s="10">
        <f t="shared" si="1"/>
        <v>0.14404819277108433</v>
      </c>
    </row>
    <row r="11" spans="1:13" x14ac:dyDescent="0.25">
      <c r="A11" s="8" t="s">
        <v>19</v>
      </c>
      <c r="B11" s="5" t="s">
        <v>386</v>
      </c>
      <c r="C11" s="6">
        <f>YEAR(B11)</f>
        <v>2023</v>
      </c>
      <c r="D11" s="5" t="str">
        <f t="shared" si="0"/>
        <v>Feb</v>
      </c>
      <c r="E11" s="4" t="s">
        <v>212</v>
      </c>
      <c r="F11" s="4" t="s">
        <v>216</v>
      </c>
      <c r="G11" s="4" t="s">
        <v>223</v>
      </c>
      <c r="H11" s="4" t="s">
        <v>235</v>
      </c>
      <c r="I11" s="4">
        <v>7</v>
      </c>
      <c r="J11" s="4">
        <v>166</v>
      </c>
      <c r="K11" s="4">
        <v>1162</v>
      </c>
      <c r="L11" s="4">
        <v>232.22</v>
      </c>
      <c r="M11" s="10">
        <f t="shared" si="1"/>
        <v>0.19984509466437178</v>
      </c>
    </row>
    <row r="12" spans="1:13" x14ac:dyDescent="0.25">
      <c r="A12" s="8" t="s">
        <v>20</v>
      </c>
      <c r="B12" s="5" t="s">
        <v>387</v>
      </c>
      <c r="C12" s="6">
        <f>YEAR(B12)</f>
        <v>2023</v>
      </c>
      <c r="D12" s="5" t="str">
        <f t="shared" si="0"/>
        <v>May</v>
      </c>
      <c r="E12" s="4" t="s">
        <v>210</v>
      </c>
      <c r="F12" s="4" t="s">
        <v>216</v>
      </c>
      <c r="G12" s="4" t="s">
        <v>221</v>
      </c>
      <c r="H12" s="4" t="s">
        <v>236</v>
      </c>
      <c r="I12" s="4">
        <v>4</v>
      </c>
      <c r="J12" s="4">
        <v>261</v>
      </c>
      <c r="K12" s="4">
        <v>1044</v>
      </c>
      <c r="L12" s="4">
        <v>197.82</v>
      </c>
      <c r="M12" s="10">
        <f t="shared" si="1"/>
        <v>0.18948275862068964</v>
      </c>
    </row>
    <row r="13" spans="1:13" x14ac:dyDescent="0.25">
      <c r="A13" s="8" t="s">
        <v>21</v>
      </c>
      <c r="B13" s="5" t="s">
        <v>388</v>
      </c>
      <c r="C13" s="6">
        <f>YEAR(B13)</f>
        <v>2022</v>
      </c>
      <c r="D13" s="5" t="str">
        <f t="shared" si="0"/>
        <v>Jul</v>
      </c>
      <c r="E13" s="4" t="s">
        <v>210</v>
      </c>
      <c r="F13" s="4" t="s">
        <v>215</v>
      </c>
      <c r="G13" s="4" t="s">
        <v>222</v>
      </c>
      <c r="H13" s="4" t="s">
        <v>237</v>
      </c>
      <c r="I13" s="4">
        <v>3</v>
      </c>
      <c r="J13" s="4">
        <v>145</v>
      </c>
      <c r="K13" s="4">
        <v>435</v>
      </c>
      <c r="L13" s="4">
        <v>78.930000000000007</v>
      </c>
      <c r="M13" s="10">
        <f t="shared" si="1"/>
        <v>0.18144827586206899</v>
      </c>
    </row>
    <row r="14" spans="1:13" x14ac:dyDescent="0.25">
      <c r="A14" s="8" t="s">
        <v>22</v>
      </c>
      <c r="B14" s="5" t="s">
        <v>389</v>
      </c>
      <c r="C14" s="6">
        <f>YEAR(B14)</f>
        <v>2023</v>
      </c>
      <c r="D14" s="5" t="str">
        <f t="shared" si="0"/>
        <v>Nov</v>
      </c>
      <c r="E14" s="4" t="s">
        <v>213</v>
      </c>
      <c r="F14" s="4" t="s">
        <v>215</v>
      </c>
      <c r="G14" s="4" t="s">
        <v>222</v>
      </c>
      <c r="H14" s="4" t="s">
        <v>238</v>
      </c>
      <c r="I14" s="4">
        <v>3</v>
      </c>
      <c r="J14" s="4">
        <v>227</v>
      </c>
      <c r="K14" s="4">
        <v>681</v>
      </c>
      <c r="L14" s="4">
        <v>142.05000000000001</v>
      </c>
      <c r="M14" s="10">
        <f t="shared" si="1"/>
        <v>0.20859030837004408</v>
      </c>
    </row>
    <row r="15" spans="1:13" x14ac:dyDescent="0.25">
      <c r="A15" s="8" t="s">
        <v>23</v>
      </c>
      <c r="B15" s="5" t="s">
        <v>390</v>
      </c>
      <c r="C15" s="6">
        <f>YEAR(B15)</f>
        <v>2022</v>
      </c>
      <c r="D15" s="5" t="str">
        <f t="shared" si="0"/>
        <v>Aug</v>
      </c>
      <c r="E15" s="4" t="s">
        <v>213</v>
      </c>
      <c r="F15" s="4" t="s">
        <v>214</v>
      </c>
      <c r="G15" s="4" t="s">
        <v>220</v>
      </c>
      <c r="H15" s="4" t="s">
        <v>239</v>
      </c>
      <c r="I15" s="4">
        <v>2</v>
      </c>
      <c r="J15" s="4">
        <v>100</v>
      </c>
      <c r="K15" s="4">
        <v>200</v>
      </c>
      <c r="L15" s="4">
        <v>56.48</v>
      </c>
      <c r="M15" s="10">
        <f t="shared" si="1"/>
        <v>0.28239999999999998</v>
      </c>
    </row>
    <row r="16" spans="1:13" x14ac:dyDescent="0.25">
      <c r="A16" s="8" t="s">
        <v>24</v>
      </c>
      <c r="B16" s="5" t="s">
        <v>391</v>
      </c>
      <c r="C16" s="6">
        <f>YEAR(B16)</f>
        <v>2022</v>
      </c>
      <c r="D16" s="5" t="str">
        <f t="shared" si="0"/>
        <v>Aug</v>
      </c>
      <c r="E16" s="4" t="s">
        <v>213</v>
      </c>
      <c r="F16" s="4" t="s">
        <v>216</v>
      </c>
      <c r="G16" s="4" t="s">
        <v>221</v>
      </c>
      <c r="H16" s="4" t="s">
        <v>232</v>
      </c>
      <c r="I16" s="4">
        <v>7</v>
      </c>
      <c r="J16" s="4">
        <v>189</v>
      </c>
      <c r="K16" s="4">
        <v>1323</v>
      </c>
      <c r="L16" s="4">
        <v>242.17</v>
      </c>
      <c r="M16" s="10">
        <f t="shared" si="1"/>
        <v>0.18304610733182161</v>
      </c>
    </row>
    <row r="17" spans="1:13" x14ac:dyDescent="0.25">
      <c r="A17" s="8" t="s">
        <v>25</v>
      </c>
      <c r="B17" s="5" t="s">
        <v>392</v>
      </c>
      <c r="C17" s="6">
        <f>YEAR(B17)</f>
        <v>2022</v>
      </c>
      <c r="D17" s="5" t="str">
        <f t="shared" si="0"/>
        <v>Jun</v>
      </c>
      <c r="E17" s="4" t="s">
        <v>212</v>
      </c>
      <c r="F17" s="4" t="s">
        <v>216</v>
      </c>
      <c r="G17" s="4" t="s">
        <v>221</v>
      </c>
      <c r="H17" s="4" t="s">
        <v>240</v>
      </c>
      <c r="I17" s="4">
        <v>10</v>
      </c>
      <c r="J17" s="4">
        <v>143</v>
      </c>
      <c r="K17" s="4">
        <v>1430</v>
      </c>
      <c r="L17" s="4">
        <v>316.23</v>
      </c>
      <c r="M17" s="10">
        <f t="shared" si="1"/>
        <v>0.22113986013986014</v>
      </c>
    </row>
    <row r="18" spans="1:13" x14ac:dyDescent="0.25">
      <c r="A18" s="8" t="s">
        <v>26</v>
      </c>
      <c r="B18" s="5" t="s">
        <v>393</v>
      </c>
      <c r="C18" s="6">
        <f>YEAR(B18)</f>
        <v>2023</v>
      </c>
      <c r="D18" s="5" t="str">
        <f t="shared" si="0"/>
        <v>Jan</v>
      </c>
      <c r="E18" s="4" t="s">
        <v>211</v>
      </c>
      <c r="F18" s="4" t="s">
        <v>214</v>
      </c>
      <c r="G18" s="4" t="s">
        <v>217</v>
      </c>
      <c r="H18" s="4" t="s">
        <v>234</v>
      </c>
      <c r="I18" s="4">
        <v>7</v>
      </c>
      <c r="J18" s="4">
        <v>242</v>
      </c>
      <c r="K18" s="4">
        <v>1694</v>
      </c>
      <c r="L18" s="4">
        <v>449.36</v>
      </c>
      <c r="M18" s="10">
        <f t="shared" si="1"/>
        <v>0.26526564344746162</v>
      </c>
    </row>
    <row r="19" spans="1:13" x14ac:dyDescent="0.25">
      <c r="A19" s="8" t="s">
        <v>27</v>
      </c>
      <c r="B19" s="5" t="s">
        <v>394</v>
      </c>
      <c r="C19" s="6">
        <f>YEAR(B19)</f>
        <v>2023</v>
      </c>
      <c r="D19" s="5" t="str">
        <f t="shared" si="0"/>
        <v>Oct</v>
      </c>
      <c r="E19" s="4" t="s">
        <v>211</v>
      </c>
      <c r="F19" s="4" t="s">
        <v>214</v>
      </c>
      <c r="G19" s="4" t="s">
        <v>217</v>
      </c>
      <c r="H19" s="4" t="s">
        <v>241</v>
      </c>
      <c r="I19" s="4">
        <v>1</v>
      </c>
      <c r="J19" s="4">
        <v>223</v>
      </c>
      <c r="K19" s="4">
        <v>223</v>
      </c>
      <c r="L19" s="4">
        <v>48.82</v>
      </c>
      <c r="M19" s="10">
        <f t="shared" si="1"/>
        <v>0.21892376681614351</v>
      </c>
    </row>
    <row r="20" spans="1:13" x14ac:dyDescent="0.25">
      <c r="A20" s="8" t="s">
        <v>28</v>
      </c>
      <c r="B20" s="5" t="s">
        <v>395</v>
      </c>
      <c r="C20" s="6">
        <f>YEAR(B20)</f>
        <v>2023</v>
      </c>
      <c r="D20" s="5" t="str">
        <f t="shared" si="0"/>
        <v>Apr</v>
      </c>
      <c r="E20" s="4" t="s">
        <v>211</v>
      </c>
      <c r="F20" s="4" t="s">
        <v>214</v>
      </c>
      <c r="G20" s="4" t="s">
        <v>224</v>
      </c>
      <c r="H20" s="4" t="s">
        <v>242</v>
      </c>
      <c r="I20" s="4">
        <v>9</v>
      </c>
      <c r="J20" s="4">
        <v>241</v>
      </c>
      <c r="K20" s="4">
        <v>2169</v>
      </c>
      <c r="L20" s="4">
        <v>498.86</v>
      </c>
      <c r="M20" s="10">
        <f t="shared" si="1"/>
        <v>0.22999538958045182</v>
      </c>
    </row>
    <row r="21" spans="1:13" x14ac:dyDescent="0.25">
      <c r="A21" s="8" t="s">
        <v>29</v>
      </c>
      <c r="B21" s="5" t="s">
        <v>396</v>
      </c>
      <c r="C21" s="6">
        <f>YEAR(B21)</f>
        <v>2023</v>
      </c>
      <c r="D21" s="5" t="str">
        <f t="shared" si="0"/>
        <v>Oct</v>
      </c>
      <c r="E21" s="4" t="s">
        <v>210</v>
      </c>
      <c r="F21" s="4" t="s">
        <v>216</v>
      </c>
      <c r="G21" s="4" t="s">
        <v>219</v>
      </c>
      <c r="H21" s="4" t="s">
        <v>243</v>
      </c>
      <c r="I21" s="4">
        <v>5</v>
      </c>
      <c r="J21" s="4">
        <v>391</v>
      </c>
      <c r="K21" s="4">
        <v>1955</v>
      </c>
      <c r="L21" s="4">
        <v>466.77</v>
      </c>
      <c r="M21" s="10">
        <f t="shared" si="1"/>
        <v>0.23875703324808184</v>
      </c>
    </row>
    <row r="22" spans="1:13" x14ac:dyDescent="0.25">
      <c r="A22" s="8" t="s">
        <v>30</v>
      </c>
      <c r="B22" s="5" t="s">
        <v>397</v>
      </c>
      <c r="C22" s="6">
        <f>YEAR(B22)</f>
        <v>2023</v>
      </c>
      <c r="D22" s="5" t="str">
        <f t="shared" si="0"/>
        <v>Oct</v>
      </c>
      <c r="E22" s="4" t="s">
        <v>210</v>
      </c>
      <c r="F22" s="4" t="s">
        <v>215</v>
      </c>
      <c r="G22" s="4" t="s">
        <v>218</v>
      </c>
      <c r="H22" s="4" t="s">
        <v>244</v>
      </c>
      <c r="I22" s="4">
        <v>5</v>
      </c>
      <c r="J22" s="4">
        <v>352</v>
      </c>
      <c r="K22" s="4">
        <v>1760</v>
      </c>
      <c r="L22" s="4">
        <v>478.95</v>
      </c>
      <c r="M22" s="10">
        <f t="shared" si="1"/>
        <v>0.27213068181818179</v>
      </c>
    </row>
    <row r="23" spans="1:13" x14ac:dyDescent="0.25">
      <c r="A23" s="8" t="s">
        <v>31</v>
      </c>
      <c r="B23" s="5" t="s">
        <v>398</v>
      </c>
      <c r="C23" s="6">
        <f>YEAR(B23)</f>
        <v>2023</v>
      </c>
      <c r="D23" s="5" t="str">
        <f t="shared" si="0"/>
        <v>Sep</v>
      </c>
      <c r="E23" s="4" t="s">
        <v>212</v>
      </c>
      <c r="F23" s="4" t="s">
        <v>216</v>
      </c>
      <c r="G23" s="4" t="s">
        <v>223</v>
      </c>
      <c r="H23" s="4" t="s">
        <v>245</v>
      </c>
      <c r="I23" s="4">
        <v>5</v>
      </c>
      <c r="J23" s="4">
        <v>485</v>
      </c>
      <c r="K23" s="4">
        <v>2425</v>
      </c>
      <c r="L23" s="4">
        <v>531.28</v>
      </c>
      <c r="M23" s="10">
        <f t="shared" si="1"/>
        <v>0.21908453608247422</v>
      </c>
    </row>
    <row r="24" spans="1:13" x14ac:dyDescent="0.25">
      <c r="A24" s="8" t="s">
        <v>32</v>
      </c>
      <c r="B24" s="5" t="s">
        <v>399</v>
      </c>
      <c r="C24" s="6">
        <f>YEAR(B24)</f>
        <v>2022</v>
      </c>
      <c r="D24" s="5" t="str">
        <f t="shared" si="0"/>
        <v>Jul</v>
      </c>
      <c r="E24" s="4" t="s">
        <v>211</v>
      </c>
      <c r="F24" s="4" t="s">
        <v>215</v>
      </c>
      <c r="G24" s="4" t="s">
        <v>225</v>
      </c>
      <c r="H24" s="4" t="s">
        <v>246</v>
      </c>
      <c r="I24" s="4">
        <v>10</v>
      </c>
      <c r="J24" s="4">
        <v>90</v>
      </c>
      <c r="K24" s="4">
        <v>900</v>
      </c>
      <c r="L24" s="4">
        <v>149.57</v>
      </c>
      <c r="M24" s="10">
        <f t="shared" si="1"/>
        <v>0.16618888888888889</v>
      </c>
    </row>
    <row r="25" spans="1:13" x14ac:dyDescent="0.25">
      <c r="A25" s="8" t="s">
        <v>33</v>
      </c>
      <c r="B25" s="5" t="s">
        <v>400</v>
      </c>
      <c r="C25" s="6">
        <f>YEAR(B25)</f>
        <v>2023</v>
      </c>
      <c r="D25" s="5" t="str">
        <f t="shared" si="0"/>
        <v>Jul</v>
      </c>
      <c r="E25" s="4" t="s">
        <v>212</v>
      </c>
      <c r="F25" s="4" t="s">
        <v>215</v>
      </c>
      <c r="G25" s="4" t="s">
        <v>222</v>
      </c>
      <c r="H25" s="4" t="s">
        <v>247</v>
      </c>
      <c r="I25" s="4">
        <v>4</v>
      </c>
      <c r="J25" s="4">
        <v>454</v>
      </c>
      <c r="K25" s="4">
        <v>1816</v>
      </c>
      <c r="L25" s="4">
        <v>196.32</v>
      </c>
      <c r="M25" s="10">
        <f t="shared" si="1"/>
        <v>0.10810572687224669</v>
      </c>
    </row>
    <row r="26" spans="1:13" x14ac:dyDescent="0.25">
      <c r="A26" s="8" t="s">
        <v>34</v>
      </c>
      <c r="B26" s="5" t="s">
        <v>401</v>
      </c>
      <c r="C26" s="6">
        <f>YEAR(B26)</f>
        <v>2023</v>
      </c>
      <c r="D26" s="5" t="str">
        <f t="shared" si="0"/>
        <v>Aug</v>
      </c>
      <c r="E26" s="4" t="s">
        <v>210</v>
      </c>
      <c r="F26" s="4" t="s">
        <v>216</v>
      </c>
      <c r="G26" s="4" t="s">
        <v>221</v>
      </c>
      <c r="H26" s="4" t="s">
        <v>248</v>
      </c>
      <c r="I26" s="4">
        <v>6</v>
      </c>
      <c r="J26" s="4">
        <v>118</v>
      </c>
      <c r="K26" s="4">
        <v>708</v>
      </c>
      <c r="L26" s="4">
        <v>135.80000000000001</v>
      </c>
      <c r="M26" s="10">
        <f t="shared" si="1"/>
        <v>0.19180790960451979</v>
      </c>
    </row>
    <row r="27" spans="1:13" x14ac:dyDescent="0.25">
      <c r="A27" s="8" t="s">
        <v>35</v>
      </c>
      <c r="B27" s="5" t="s">
        <v>402</v>
      </c>
      <c r="C27" s="6">
        <f>YEAR(B27)</f>
        <v>2023</v>
      </c>
      <c r="D27" s="5" t="str">
        <f t="shared" si="0"/>
        <v>Aug</v>
      </c>
      <c r="E27" s="4" t="s">
        <v>210</v>
      </c>
      <c r="F27" s="4" t="s">
        <v>216</v>
      </c>
      <c r="G27" s="4" t="s">
        <v>219</v>
      </c>
      <c r="H27" s="4" t="s">
        <v>249</v>
      </c>
      <c r="I27" s="4">
        <v>7</v>
      </c>
      <c r="J27" s="4">
        <v>289</v>
      </c>
      <c r="K27" s="4">
        <v>2023</v>
      </c>
      <c r="L27" s="4">
        <v>597.6</v>
      </c>
      <c r="M27" s="10">
        <f t="shared" si="1"/>
        <v>0.29540286702916463</v>
      </c>
    </row>
    <row r="28" spans="1:13" x14ac:dyDescent="0.25">
      <c r="A28" s="8" t="s">
        <v>36</v>
      </c>
      <c r="B28" s="5" t="s">
        <v>403</v>
      </c>
      <c r="C28" s="6">
        <f>YEAR(B28)</f>
        <v>2022</v>
      </c>
      <c r="D28" s="5" t="str">
        <f t="shared" si="0"/>
        <v>Aug</v>
      </c>
      <c r="E28" s="4" t="s">
        <v>210</v>
      </c>
      <c r="F28" s="4" t="s">
        <v>214</v>
      </c>
      <c r="G28" s="4" t="s">
        <v>220</v>
      </c>
      <c r="H28" s="4" t="s">
        <v>250</v>
      </c>
      <c r="I28" s="4">
        <v>9</v>
      </c>
      <c r="J28" s="4">
        <v>346</v>
      </c>
      <c r="K28" s="4">
        <v>3114</v>
      </c>
      <c r="L28" s="4">
        <v>578.41999999999996</v>
      </c>
      <c r="M28" s="10">
        <f t="shared" si="1"/>
        <v>0.18574823378291586</v>
      </c>
    </row>
    <row r="29" spans="1:13" x14ac:dyDescent="0.25">
      <c r="A29" s="8" t="s">
        <v>37</v>
      </c>
      <c r="B29" s="5" t="s">
        <v>404</v>
      </c>
      <c r="C29" s="6">
        <f>YEAR(B29)</f>
        <v>2023</v>
      </c>
      <c r="D29" s="5" t="str">
        <f t="shared" si="0"/>
        <v>Apr</v>
      </c>
      <c r="E29" s="4" t="s">
        <v>211</v>
      </c>
      <c r="F29" s="4" t="s">
        <v>216</v>
      </c>
      <c r="G29" s="4" t="s">
        <v>221</v>
      </c>
      <c r="H29" s="4" t="s">
        <v>251</v>
      </c>
      <c r="I29" s="4">
        <v>2</v>
      </c>
      <c r="J29" s="4">
        <v>177</v>
      </c>
      <c r="K29" s="4">
        <v>354</v>
      </c>
      <c r="L29" s="4">
        <v>90.89</v>
      </c>
      <c r="M29" s="10">
        <f t="shared" si="1"/>
        <v>0.25675141242937854</v>
      </c>
    </row>
    <row r="30" spans="1:13" x14ac:dyDescent="0.25">
      <c r="A30" s="8" t="s">
        <v>38</v>
      </c>
      <c r="B30" s="5" t="s">
        <v>405</v>
      </c>
      <c r="C30" s="6">
        <f>YEAR(B30)</f>
        <v>2023</v>
      </c>
      <c r="D30" s="5" t="str">
        <f t="shared" si="0"/>
        <v>May</v>
      </c>
      <c r="E30" s="4" t="s">
        <v>213</v>
      </c>
      <c r="F30" s="4" t="s">
        <v>216</v>
      </c>
      <c r="G30" s="4" t="s">
        <v>219</v>
      </c>
      <c r="H30" s="4" t="s">
        <v>252</v>
      </c>
      <c r="I30" s="4">
        <v>8</v>
      </c>
      <c r="J30" s="4">
        <v>75</v>
      </c>
      <c r="K30" s="4">
        <v>600</v>
      </c>
      <c r="L30" s="4">
        <v>67.75</v>
      </c>
      <c r="M30" s="10">
        <f t="shared" si="1"/>
        <v>0.11291666666666667</v>
      </c>
    </row>
    <row r="31" spans="1:13" x14ac:dyDescent="0.25">
      <c r="A31" s="8" t="s">
        <v>39</v>
      </c>
      <c r="B31" s="5" t="s">
        <v>406</v>
      </c>
      <c r="C31" s="6">
        <f>YEAR(B31)</f>
        <v>2023</v>
      </c>
      <c r="D31" s="5" t="str">
        <f t="shared" si="0"/>
        <v>Jun</v>
      </c>
      <c r="E31" s="4" t="s">
        <v>213</v>
      </c>
      <c r="F31" s="4" t="s">
        <v>215</v>
      </c>
      <c r="G31" s="4" t="s">
        <v>225</v>
      </c>
      <c r="H31" s="4" t="s">
        <v>253</v>
      </c>
      <c r="I31" s="4">
        <v>5</v>
      </c>
      <c r="J31" s="4">
        <v>174</v>
      </c>
      <c r="K31" s="4">
        <v>870</v>
      </c>
      <c r="L31" s="4">
        <v>95.7</v>
      </c>
      <c r="M31" s="10">
        <f t="shared" si="1"/>
        <v>0.11</v>
      </c>
    </row>
    <row r="32" spans="1:13" x14ac:dyDescent="0.25">
      <c r="A32" s="8" t="s">
        <v>40</v>
      </c>
      <c r="B32" s="5" t="s">
        <v>407</v>
      </c>
      <c r="C32" s="6">
        <f>YEAR(B32)</f>
        <v>2023</v>
      </c>
      <c r="D32" s="5" t="str">
        <f t="shared" si="0"/>
        <v>Jun</v>
      </c>
      <c r="E32" s="4" t="s">
        <v>212</v>
      </c>
      <c r="F32" s="4" t="s">
        <v>215</v>
      </c>
      <c r="G32" s="4" t="s">
        <v>222</v>
      </c>
      <c r="H32" s="4" t="s">
        <v>254</v>
      </c>
      <c r="I32" s="4">
        <v>8</v>
      </c>
      <c r="J32" s="4">
        <v>359</v>
      </c>
      <c r="K32" s="4">
        <v>2872</v>
      </c>
      <c r="L32" s="4">
        <v>848.13</v>
      </c>
      <c r="M32" s="10">
        <f t="shared" si="1"/>
        <v>0.29530988857938717</v>
      </c>
    </row>
    <row r="33" spans="1:13" x14ac:dyDescent="0.25">
      <c r="A33" s="8" t="s">
        <v>41</v>
      </c>
      <c r="B33" s="5" t="s">
        <v>408</v>
      </c>
      <c r="C33" s="6">
        <f>YEAR(B33)</f>
        <v>2023</v>
      </c>
      <c r="D33" s="5" t="str">
        <f t="shared" si="0"/>
        <v>Nov</v>
      </c>
      <c r="E33" s="4" t="s">
        <v>212</v>
      </c>
      <c r="F33" s="4" t="s">
        <v>216</v>
      </c>
      <c r="G33" s="4" t="s">
        <v>221</v>
      </c>
      <c r="H33" s="4" t="s">
        <v>255</v>
      </c>
      <c r="I33" s="4">
        <v>9</v>
      </c>
      <c r="J33" s="4">
        <v>278</v>
      </c>
      <c r="K33" s="4">
        <v>2502</v>
      </c>
      <c r="L33" s="4">
        <v>407.74</v>
      </c>
      <c r="M33" s="10">
        <f t="shared" si="1"/>
        <v>0.16296562749800161</v>
      </c>
    </row>
    <row r="34" spans="1:13" x14ac:dyDescent="0.25">
      <c r="A34" s="8" t="s">
        <v>42</v>
      </c>
      <c r="B34" s="5" t="s">
        <v>409</v>
      </c>
      <c r="C34" s="6">
        <f>YEAR(B34)</f>
        <v>2023</v>
      </c>
      <c r="D34" s="5" t="str">
        <f t="shared" si="0"/>
        <v>Aug</v>
      </c>
      <c r="E34" s="4" t="s">
        <v>211</v>
      </c>
      <c r="F34" s="4" t="s">
        <v>214</v>
      </c>
      <c r="G34" s="4" t="s">
        <v>217</v>
      </c>
      <c r="H34" s="4" t="s">
        <v>256</v>
      </c>
      <c r="I34" s="4">
        <v>4</v>
      </c>
      <c r="J34" s="4">
        <v>261</v>
      </c>
      <c r="K34" s="4">
        <v>1044</v>
      </c>
      <c r="L34" s="4">
        <v>115.61</v>
      </c>
      <c r="M34" s="10">
        <f t="shared" si="1"/>
        <v>0.11073754789272031</v>
      </c>
    </row>
    <row r="35" spans="1:13" x14ac:dyDescent="0.25">
      <c r="A35" s="8" t="s">
        <v>43</v>
      </c>
      <c r="B35" s="5" t="s">
        <v>410</v>
      </c>
      <c r="C35" s="6">
        <f>YEAR(B35)</f>
        <v>2022</v>
      </c>
      <c r="D35" s="5" t="str">
        <f t="shared" si="0"/>
        <v>Mar</v>
      </c>
      <c r="E35" s="4" t="s">
        <v>210</v>
      </c>
      <c r="F35" s="4" t="s">
        <v>214</v>
      </c>
      <c r="G35" s="4" t="s">
        <v>217</v>
      </c>
      <c r="H35" s="4" t="s">
        <v>257</v>
      </c>
      <c r="I35" s="4">
        <v>7</v>
      </c>
      <c r="J35" s="4">
        <v>203</v>
      </c>
      <c r="K35" s="4">
        <v>1421</v>
      </c>
      <c r="L35" s="4">
        <v>374.15</v>
      </c>
      <c r="M35" s="10">
        <f t="shared" si="1"/>
        <v>0.26330049261083743</v>
      </c>
    </row>
    <row r="36" spans="1:13" x14ac:dyDescent="0.25">
      <c r="A36" s="8" t="s">
        <v>44</v>
      </c>
      <c r="B36" s="5" t="s">
        <v>377</v>
      </c>
      <c r="C36" s="6">
        <f>YEAR(B36)</f>
        <v>2022</v>
      </c>
      <c r="D36" s="5" t="str">
        <f t="shared" si="0"/>
        <v>Jan</v>
      </c>
      <c r="E36" s="4" t="s">
        <v>210</v>
      </c>
      <c r="F36" s="4" t="s">
        <v>216</v>
      </c>
      <c r="G36" s="4" t="s">
        <v>219</v>
      </c>
      <c r="H36" s="4" t="s">
        <v>258</v>
      </c>
      <c r="I36" s="4">
        <v>8</v>
      </c>
      <c r="J36" s="4">
        <v>299</v>
      </c>
      <c r="K36" s="4">
        <v>2392</v>
      </c>
      <c r="L36" s="4">
        <v>360.76</v>
      </c>
      <c r="M36" s="10">
        <f t="shared" si="1"/>
        <v>0.15081939799331104</v>
      </c>
    </row>
    <row r="37" spans="1:13" x14ac:dyDescent="0.25">
      <c r="A37" s="8" t="s">
        <v>45</v>
      </c>
      <c r="B37" s="5" t="s">
        <v>411</v>
      </c>
      <c r="C37" s="6">
        <f>YEAR(B37)</f>
        <v>2022</v>
      </c>
      <c r="D37" s="5" t="str">
        <f t="shared" si="0"/>
        <v>Dec</v>
      </c>
      <c r="E37" s="4" t="s">
        <v>210</v>
      </c>
      <c r="F37" s="4" t="s">
        <v>215</v>
      </c>
      <c r="G37" s="4" t="s">
        <v>222</v>
      </c>
      <c r="H37" s="4" t="s">
        <v>259</v>
      </c>
      <c r="I37" s="4">
        <v>10</v>
      </c>
      <c r="J37" s="4">
        <v>137</v>
      </c>
      <c r="K37" s="4">
        <v>1370</v>
      </c>
      <c r="L37" s="4">
        <v>238.06</v>
      </c>
      <c r="M37" s="10">
        <f t="shared" si="1"/>
        <v>0.17376642335766423</v>
      </c>
    </row>
    <row r="38" spans="1:13" x14ac:dyDescent="0.25">
      <c r="A38" s="8" t="s">
        <v>46</v>
      </c>
      <c r="B38" s="5" t="s">
        <v>412</v>
      </c>
      <c r="C38" s="6">
        <f>YEAR(B38)</f>
        <v>2022</v>
      </c>
      <c r="D38" s="5" t="str">
        <f t="shared" si="0"/>
        <v>Oct</v>
      </c>
      <c r="E38" s="4" t="s">
        <v>210</v>
      </c>
      <c r="F38" s="4" t="s">
        <v>215</v>
      </c>
      <c r="G38" s="4" t="s">
        <v>225</v>
      </c>
      <c r="H38" s="4" t="s">
        <v>260</v>
      </c>
      <c r="I38" s="4">
        <v>4</v>
      </c>
      <c r="J38" s="4">
        <v>97</v>
      </c>
      <c r="K38" s="4">
        <v>388</v>
      </c>
      <c r="L38" s="4">
        <v>93.58</v>
      </c>
      <c r="M38" s="10">
        <f t="shared" si="1"/>
        <v>0.24118556701030927</v>
      </c>
    </row>
    <row r="39" spans="1:13" x14ac:dyDescent="0.25">
      <c r="A39" s="8" t="s">
        <v>47</v>
      </c>
      <c r="B39" s="5" t="s">
        <v>413</v>
      </c>
      <c r="C39" s="6">
        <f>YEAR(B39)</f>
        <v>2022</v>
      </c>
      <c r="D39" s="5" t="str">
        <f t="shared" si="0"/>
        <v>Oct</v>
      </c>
      <c r="E39" s="4" t="s">
        <v>212</v>
      </c>
      <c r="F39" s="4" t="s">
        <v>216</v>
      </c>
      <c r="G39" s="4" t="s">
        <v>221</v>
      </c>
      <c r="H39" s="4" t="s">
        <v>261</v>
      </c>
      <c r="I39" s="4">
        <v>4</v>
      </c>
      <c r="J39" s="4">
        <v>32</v>
      </c>
      <c r="K39" s="4">
        <v>128</v>
      </c>
      <c r="L39" s="4">
        <v>32.36</v>
      </c>
      <c r="M39" s="10">
        <f t="shared" si="1"/>
        <v>0.2528125</v>
      </c>
    </row>
    <row r="40" spans="1:13" x14ac:dyDescent="0.25">
      <c r="A40" s="8" t="s">
        <v>48</v>
      </c>
      <c r="B40" s="5" t="s">
        <v>414</v>
      </c>
      <c r="C40" s="6">
        <f>YEAR(B40)</f>
        <v>2023</v>
      </c>
      <c r="D40" s="5" t="str">
        <f t="shared" si="0"/>
        <v>May</v>
      </c>
      <c r="E40" s="4" t="s">
        <v>212</v>
      </c>
      <c r="F40" s="4" t="s">
        <v>216</v>
      </c>
      <c r="G40" s="4" t="s">
        <v>221</v>
      </c>
      <c r="H40" s="4" t="s">
        <v>262</v>
      </c>
      <c r="I40" s="4">
        <v>2</v>
      </c>
      <c r="J40" s="4">
        <v>428</v>
      </c>
      <c r="K40" s="4">
        <v>856</v>
      </c>
      <c r="L40" s="4">
        <v>228.04</v>
      </c>
      <c r="M40" s="10">
        <f t="shared" si="1"/>
        <v>0.26640186915887848</v>
      </c>
    </row>
    <row r="41" spans="1:13" x14ac:dyDescent="0.25">
      <c r="A41" s="8" t="s">
        <v>49</v>
      </c>
      <c r="B41" s="5" t="s">
        <v>415</v>
      </c>
      <c r="C41" s="6">
        <f>YEAR(B41)</f>
        <v>2023</v>
      </c>
      <c r="D41" s="5" t="str">
        <f t="shared" si="0"/>
        <v>Nov</v>
      </c>
      <c r="E41" s="4" t="s">
        <v>211</v>
      </c>
      <c r="F41" s="4" t="s">
        <v>216</v>
      </c>
      <c r="G41" s="4" t="s">
        <v>219</v>
      </c>
      <c r="H41" s="4" t="s">
        <v>263</v>
      </c>
      <c r="I41" s="4">
        <v>6</v>
      </c>
      <c r="J41" s="4">
        <v>208</v>
      </c>
      <c r="K41" s="4">
        <v>1248</v>
      </c>
      <c r="L41" s="4">
        <v>358.59</v>
      </c>
      <c r="M41" s="10">
        <f t="shared" si="1"/>
        <v>0.28733173076923074</v>
      </c>
    </row>
    <row r="42" spans="1:13" x14ac:dyDescent="0.25">
      <c r="A42" s="8" t="s">
        <v>50</v>
      </c>
      <c r="B42" s="5" t="s">
        <v>416</v>
      </c>
      <c r="C42" s="6">
        <f>YEAR(B42)</f>
        <v>2023</v>
      </c>
      <c r="D42" s="5" t="str">
        <f t="shared" si="0"/>
        <v>Mar</v>
      </c>
      <c r="E42" s="4" t="s">
        <v>211</v>
      </c>
      <c r="F42" s="4" t="s">
        <v>215</v>
      </c>
      <c r="G42" s="4" t="s">
        <v>225</v>
      </c>
      <c r="H42" s="4" t="s">
        <v>264</v>
      </c>
      <c r="I42" s="4">
        <v>10</v>
      </c>
      <c r="J42" s="4">
        <v>347</v>
      </c>
      <c r="K42" s="4">
        <v>3470</v>
      </c>
      <c r="L42" s="4">
        <v>778.31</v>
      </c>
      <c r="M42" s="10">
        <f t="shared" si="1"/>
        <v>0.22429682997118153</v>
      </c>
    </row>
    <row r="43" spans="1:13" x14ac:dyDescent="0.25">
      <c r="A43" s="8" t="s">
        <v>51</v>
      </c>
      <c r="B43" s="5" t="s">
        <v>417</v>
      </c>
      <c r="C43" s="6">
        <f>YEAR(B43)</f>
        <v>2022</v>
      </c>
      <c r="D43" s="5" t="str">
        <f t="shared" si="0"/>
        <v>Apr</v>
      </c>
      <c r="E43" s="4" t="s">
        <v>212</v>
      </c>
      <c r="F43" s="4" t="s">
        <v>216</v>
      </c>
      <c r="G43" s="4" t="s">
        <v>223</v>
      </c>
      <c r="H43" s="4" t="s">
        <v>265</v>
      </c>
      <c r="I43" s="4">
        <v>3</v>
      </c>
      <c r="J43" s="4">
        <v>334</v>
      </c>
      <c r="K43" s="4">
        <v>1002</v>
      </c>
      <c r="L43" s="4">
        <v>175.26</v>
      </c>
      <c r="M43" s="10">
        <f t="shared" si="1"/>
        <v>0.17491017964071856</v>
      </c>
    </row>
    <row r="44" spans="1:13" x14ac:dyDescent="0.25">
      <c r="A44" s="8" t="s">
        <v>52</v>
      </c>
      <c r="B44" s="5" t="s">
        <v>418</v>
      </c>
      <c r="C44" s="6">
        <f>YEAR(B44)</f>
        <v>2022</v>
      </c>
      <c r="D44" s="5" t="str">
        <f t="shared" si="0"/>
        <v>Nov</v>
      </c>
      <c r="E44" s="4" t="s">
        <v>212</v>
      </c>
      <c r="F44" s="4" t="s">
        <v>216</v>
      </c>
      <c r="G44" s="4" t="s">
        <v>221</v>
      </c>
      <c r="H44" s="4" t="s">
        <v>266</v>
      </c>
      <c r="I44" s="4">
        <v>2</v>
      </c>
      <c r="J44" s="4">
        <v>47</v>
      </c>
      <c r="K44" s="4">
        <v>94</v>
      </c>
      <c r="L44" s="4">
        <v>17.77</v>
      </c>
      <c r="M44" s="10">
        <f t="shared" si="1"/>
        <v>0.18904255319148935</v>
      </c>
    </row>
    <row r="45" spans="1:13" x14ac:dyDescent="0.25">
      <c r="A45" s="8" t="s">
        <v>53</v>
      </c>
      <c r="B45" s="5" t="s">
        <v>419</v>
      </c>
      <c r="C45" s="6">
        <f>YEAR(B45)</f>
        <v>2022</v>
      </c>
      <c r="D45" s="5" t="str">
        <f t="shared" si="0"/>
        <v>Mar</v>
      </c>
      <c r="E45" s="4" t="s">
        <v>212</v>
      </c>
      <c r="F45" s="4" t="s">
        <v>215</v>
      </c>
      <c r="G45" s="4" t="s">
        <v>225</v>
      </c>
      <c r="H45" s="4" t="s">
        <v>267</v>
      </c>
      <c r="I45" s="4">
        <v>3</v>
      </c>
      <c r="J45" s="4">
        <v>468</v>
      </c>
      <c r="K45" s="4">
        <v>1404</v>
      </c>
      <c r="L45" s="4">
        <v>384.35</v>
      </c>
      <c r="M45" s="10">
        <f t="shared" si="1"/>
        <v>0.27375356125356126</v>
      </c>
    </row>
    <row r="46" spans="1:13" x14ac:dyDescent="0.25">
      <c r="A46" s="8" t="s">
        <v>54</v>
      </c>
      <c r="B46" s="5" t="s">
        <v>420</v>
      </c>
      <c r="C46" s="6">
        <f>YEAR(B46)</f>
        <v>2023</v>
      </c>
      <c r="D46" s="5" t="str">
        <f t="shared" si="0"/>
        <v>Mar</v>
      </c>
      <c r="E46" s="4" t="s">
        <v>213</v>
      </c>
      <c r="F46" s="4" t="s">
        <v>216</v>
      </c>
      <c r="G46" s="4" t="s">
        <v>219</v>
      </c>
      <c r="H46" s="4" t="s">
        <v>268</v>
      </c>
      <c r="I46" s="4">
        <v>10</v>
      </c>
      <c r="J46" s="4">
        <v>65</v>
      </c>
      <c r="K46" s="4">
        <v>650</v>
      </c>
      <c r="L46" s="4">
        <v>74.58</v>
      </c>
      <c r="M46" s="10">
        <f t="shared" si="1"/>
        <v>0.11473846153846154</v>
      </c>
    </row>
    <row r="47" spans="1:13" x14ac:dyDescent="0.25">
      <c r="A47" s="8" t="s">
        <v>55</v>
      </c>
      <c r="B47" s="5" t="s">
        <v>421</v>
      </c>
      <c r="C47" s="6">
        <f>YEAR(B47)</f>
        <v>2023</v>
      </c>
      <c r="D47" s="5" t="str">
        <f t="shared" si="0"/>
        <v>Nov</v>
      </c>
      <c r="E47" s="4" t="s">
        <v>211</v>
      </c>
      <c r="F47" s="4" t="s">
        <v>215</v>
      </c>
      <c r="G47" s="4" t="s">
        <v>218</v>
      </c>
      <c r="H47" s="4" t="s">
        <v>269</v>
      </c>
      <c r="I47" s="4">
        <v>1</v>
      </c>
      <c r="J47" s="4">
        <v>376</v>
      </c>
      <c r="K47" s="4">
        <v>376</v>
      </c>
      <c r="L47" s="4">
        <v>40.340000000000003</v>
      </c>
      <c r="M47" s="10">
        <f t="shared" si="1"/>
        <v>0.10728723404255321</v>
      </c>
    </row>
    <row r="48" spans="1:13" x14ac:dyDescent="0.25">
      <c r="A48" s="8" t="s">
        <v>56</v>
      </c>
      <c r="B48" s="5" t="s">
        <v>422</v>
      </c>
      <c r="C48" s="6">
        <f>YEAR(B48)</f>
        <v>2023</v>
      </c>
      <c r="D48" s="5" t="str">
        <f t="shared" si="0"/>
        <v>Sep</v>
      </c>
      <c r="E48" s="4" t="s">
        <v>210</v>
      </c>
      <c r="F48" s="4" t="s">
        <v>216</v>
      </c>
      <c r="G48" s="4" t="s">
        <v>221</v>
      </c>
      <c r="H48" s="4" t="s">
        <v>262</v>
      </c>
      <c r="I48" s="4">
        <v>4</v>
      </c>
      <c r="J48" s="4">
        <v>104</v>
      </c>
      <c r="K48" s="4">
        <v>416</v>
      </c>
      <c r="L48" s="4">
        <v>47.19</v>
      </c>
      <c r="M48" s="10">
        <f t="shared" si="1"/>
        <v>0.1134375</v>
      </c>
    </row>
    <row r="49" spans="1:13" x14ac:dyDescent="0.25">
      <c r="A49" s="8" t="s">
        <v>57</v>
      </c>
      <c r="B49" s="5" t="s">
        <v>423</v>
      </c>
      <c r="C49" s="6">
        <f>YEAR(B49)</f>
        <v>2023</v>
      </c>
      <c r="D49" s="5" t="str">
        <f t="shared" si="0"/>
        <v>Nov</v>
      </c>
      <c r="E49" s="4" t="s">
        <v>210</v>
      </c>
      <c r="F49" s="4" t="s">
        <v>215</v>
      </c>
      <c r="G49" s="4" t="s">
        <v>218</v>
      </c>
      <c r="H49" s="4" t="s">
        <v>270</v>
      </c>
      <c r="I49" s="4">
        <v>9</v>
      </c>
      <c r="J49" s="4">
        <v>124</v>
      </c>
      <c r="K49" s="4">
        <v>1116</v>
      </c>
      <c r="L49" s="4">
        <v>186.19</v>
      </c>
      <c r="M49" s="10">
        <f t="shared" si="1"/>
        <v>0.16683691756272401</v>
      </c>
    </row>
    <row r="50" spans="1:13" x14ac:dyDescent="0.25">
      <c r="A50" s="8" t="s">
        <v>58</v>
      </c>
      <c r="B50" s="5" t="s">
        <v>424</v>
      </c>
      <c r="C50" s="6">
        <f>YEAR(B50)</f>
        <v>2023</v>
      </c>
      <c r="D50" s="5" t="str">
        <f t="shared" si="0"/>
        <v>Nov</v>
      </c>
      <c r="E50" s="4" t="s">
        <v>213</v>
      </c>
      <c r="F50" s="4" t="s">
        <v>214</v>
      </c>
      <c r="G50" s="4" t="s">
        <v>217</v>
      </c>
      <c r="H50" s="4" t="s">
        <v>241</v>
      </c>
      <c r="I50" s="4">
        <v>10</v>
      </c>
      <c r="J50" s="4">
        <v>133</v>
      </c>
      <c r="K50" s="4">
        <v>1330</v>
      </c>
      <c r="L50" s="4">
        <v>280.27</v>
      </c>
      <c r="M50" s="10">
        <f t="shared" si="1"/>
        <v>0.21072932330827066</v>
      </c>
    </row>
    <row r="51" spans="1:13" x14ac:dyDescent="0.25">
      <c r="A51" s="8" t="s">
        <v>59</v>
      </c>
      <c r="B51" s="5" t="s">
        <v>425</v>
      </c>
      <c r="C51" s="6">
        <f>YEAR(B51)</f>
        <v>2022</v>
      </c>
      <c r="D51" s="5" t="str">
        <f t="shared" si="0"/>
        <v>Jun</v>
      </c>
      <c r="E51" s="4" t="s">
        <v>210</v>
      </c>
      <c r="F51" s="4" t="s">
        <v>216</v>
      </c>
      <c r="G51" s="4" t="s">
        <v>221</v>
      </c>
      <c r="H51" s="4" t="s">
        <v>271</v>
      </c>
      <c r="I51" s="4">
        <v>6</v>
      </c>
      <c r="J51" s="4">
        <v>360</v>
      </c>
      <c r="K51" s="4">
        <v>2160</v>
      </c>
      <c r="L51" s="4">
        <v>330.16</v>
      </c>
      <c r="M51" s="10">
        <f t="shared" si="1"/>
        <v>0.15285185185185185</v>
      </c>
    </row>
    <row r="52" spans="1:13" x14ac:dyDescent="0.25">
      <c r="A52" s="8" t="s">
        <v>60</v>
      </c>
      <c r="B52" s="5" t="s">
        <v>426</v>
      </c>
      <c r="C52" s="6">
        <f>YEAR(B52)</f>
        <v>2023</v>
      </c>
      <c r="D52" s="5" t="str">
        <f t="shared" si="0"/>
        <v>Jun</v>
      </c>
      <c r="E52" s="4" t="s">
        <v>213</v>
      </c>
      <c r="F52" s="4" t="s">
        <v>215</v>
      </c>
      <c r="G52" s="4" t="s">
        <v>222</v>
      </c>
      <c r="H52" s="4" t="s">
        <v>272</v>
      </c>
      <c r="I52" s="4">
        <v>3</v>
      </c>
      <c r="J52" s="4">
        <v>230</v>
      </c>
      <c r="K52" s="4">
        <v>690</v>
      </c>
      <c r="L52" s="4">
        <v>165.66</v>
      </c>
      <c r="M52" s="10">
        <f t="shared" si="1"/>
        <v>0.24008695652173911</v>
      </c>
    </row>
    <row r="53" spans="1:13" x14ac:dyDescent="0.25">
      <c r="A53" s="8" t="s">
        <v>61</v>
      </c>
      <c r="B53" s="5" t="s">
        <v>427</v>
      </c>
      <c r="C53" s="6">
        <f>YEAR(B53)</f>
        <v>2023</v>
      </c>
      <c r="D53" s="5" t="str">
        <f t="shared" si="0"/>
        <v>Sep</v>
      </c>
      <c r="E53" s="4" t="s">
        <v>211</v>
      </c>
      <c r="F53" s="4" t="s">
        <v>216</v>
      </c>
      <c r="G53" s="4" t="s">
        <v>221</v>
      </c>
      <c r="H53" s="4" t="s">
        <v>261</v>
      </c>
      <c r="I53" s="4">
        <v>8</v>
      </c>
      <c r="J53" s="4">
        <v>90</v>
      </c>
      <c r="K53" s="4">
        <v>720</v>
      </c>
      <c r="L53" s="4">
        <v>128.15</v>
      </c>
      <c r="M53" s="10">
        <f t="shared" si="1"/>
        <v>0.17798611111111112</v>
      </c>
    </row>
    <row r="54" spans="1:13" x14ac:dyDescent="0.25">
      <c r="A54" s="8" t="s">
        <v>62</v>
      </c>
      <c r="B54" s="5" t="s">
        <v>428</v>
      </c>
      <c r="C54" s="6">
        <f>YEAR(B54)</f>
        <v>2023</v>
      </c>
      <c r="D54" s="5" t="str">
        <f t="shared" si="0"/>
        <v>Jul</v>
      </c>
      <c r="E54" s="4" t="s">
        <v>212</v>
      </c>
      <c r="F54" s="4" t="s">
        <v>215</v>
      </c>
      <c r="G54" s="4" t="s">
        <v>225</v>
      </c>
      <c r="H54" s="4" t="s">
        <v>273</v>
      </c>
      <c r="I54" s="4">
        <v>6</v>
      </c>
      <c r="J54" s="4">
        <v>308</v>
      </c>
      <c r="K54" s="4">
        <v>1848</v>
      </c>
      <c r="L54" s="4">
        <v>524.61</v>
      </c>
      <c r="M54" s="10">
        <f t="shared" si="1"/>
        <v>0.28387987012987015</v>
      </c>
    </row>
    <row r="55" spans="1:13" x14ac:dyDescent="0.25">
      <c r="A55" s="8" t="s">
        <v>63</v>
      </c>
      <c r="B55" s="5" t="s">
        <v>429</v>
      </c>
      <c r="C55" s="6">
        <f>YEAR(B55)</f>
        <v>2022</v>
      </c>
      <c r="D55" s="5" t="str">
        <f t="shared" si="0"/>
        <v>Sep</v>
      </c>
      <c r="E55" s="4" t="s">
        <v>213</v>
      </c>
      <c r="F55" s="4" t="s">
        <v>214</v>
      </c>
      <c r="G55" s="4" t="s">
        <v>224</v>
      </c>
      <c r="H55" s="4" t="s">
        <v>274</v>
      </c>
      <c r="I55" s="4">
        <v>2</v>
      </c>
      <c r="J55" s="4">
        <v>84</v>
      </c>
      <c r="K55" s="4">
        <v>168</v>
      </c>
      <c r="L55" s="4">
        <v>21.72</v>
      </c>
      <c r="M55" s="10">
        <f t="shared" si="1"/>
        <v>0.12928571428571428</v>
      </c>
    </row>
    <row r="56" spans="1:13" x14ac:dyDescent="0.25">
      <c r="A56" s="8" t="s">
        <v>64</v>
      </c>
      <c r="B56" s="5" t="s">
        <v>430</v>
      </c>
      <c r="C56" s="6">
        <f>YEAR(B56)</f>
        <v>2022</v>
      </c>
      <c r="D56" s="5" t="str">
        <f t="shared" si="0"/>
        <v>Dec</v>
      </c>
      <c r="E56" s="4" t="s">
        <v>210</v>
      </c>
      <c r="F56" s="4" t="s">
        <v>216</v>
      </c>
      <c r="G56" s="4" t="s">
        <v>219</v>
      </c>
      <c r="H56" s="4" t="s">
        <v>275</v>
      </c>
      <c r="I56" s="4">
        <v>6</v>
      </c>
      <c r="J56" s="4">
        <v>287</v>
      </c>
      <c r="K56" s="4">
        <v>1722</v>
      </c>
      <c r="L56" s="4">
        <v>426.22</v>
      </c>
      <c r="M56" s="10">
        <f t="shared" si="1"/>
        <v>0.24751451800232291</v>
      </c>
    </row>
    <row r="57" spans="1:13" x14ac:dyDescent="0.25">
      <c r="A57" s="8" t="s">
        <v>65</v>
      </c>
      <c r="B57" s="5" t="s">
        <v>431</v>
      </c>
      <c r="C57" s="6">
        <f>YEAR(B57)</f>
        <v>2022</v>
      </c>
      <c r="D57" s="5" t="str">
        <f t="shared" si="0"/>
        <v>Mar</v>
      </c>
      <c r="E57" s="4" t="s">
        <v>213</v>
      </c>
      <c r="F57" s="4" t="s">
        <v>215</v>
      </c>
      <c r="G57" s="4" t="s">
        <v>225</v>
      </c>
      <c r="H57" s="4" t="s">
        <v>276</v>
      </c>
      <c r="I57" s="4">
        <v>9</v>
      </c>
      <c r="J57" s="4">
        <v>197</v>
      </c>
      <c r="K57" s="4">
        <v>1773</v>
      </c>
      <c r="L57" s="4">
        <v>443.12</v>
      </c>
      <c r="M57" s="10">
        <f t="shared" si="1"/>
        <v>0.24992667794698251</v>
      </c>
    </row>
    <row r="58" spans="1:13" x14ac:dyDescent="0.25">
      <c r="A58" s="8" t="s">
        <v>66</v>
      </c>
      <c r="B58" s="5" t="s">
        <v>432</v>
      </c>
      <c r="C58" s="6">
        <f>YEAR(B58)</f>
        <v>2023</v>
      </c>
      <c r="D58" s="5" t="str">
        <f t="shared" si="0"/>
        <v>Aug</v>
      </c>
      <c r="E58" s="4" t="s">
        <v>210</v>
      </c>
      <c r="F58" s="4" t="s">
        <v>214</v>
      </c>
      <c r="G58" s="4" t="s">
        <v>224</v>
      </c>
      <c r="H58" s="4" t="s">
        <v>274</v>
      </c>
      <c r="I58" s="4">
        <v>3</v>
      </c>
      <c r="J58" s="4">
        <v>490</v>
      </c>
      <c r="K58" s="4">
        <v>1470</v>
      </c>
      <c r="L58" s="4">
        <v>244.29</v>
      </c>
      <c r="M58" s="10">
        <f t="shared" si="1"/>
        <v>0.16618367346938775</v>
      </c>
    </row>
    <row r="59" spans="1:13" x14ac:dyDescent="0.25">
      <c r="A59" s="8" t="s">
        <v>67</v>
      </c>
      <c r="B59" s="5" t="s">
        <v>433</v>
      </c>
      <c r="C59" s="6">
        <f>YEAR(B59)</f>
        <v>2022</v>
      </c>
      <c r="D59" s="5" t="str">
        <f t="shared" si="0"/>
        <v>Nov</v>
      </c>
      <c r="E59" s="4" t="s">
        <v>210</v>
      </c>
      <c r="F59" s="4" t="s">
        <v>215</v>
      </c>
      <c r="G59" s="4" t="s">
        <v>222</v>
      </c>
      <c r="H59" s="4" t="s">
        <v>277</v>
      </c>
      <c r="I59" s="4">
        <v>5</v>
      </c>
      <c r="J59" s="4">
        <v>409</v>
      </c>
      <c r="K59" s="4">
        <v>2045</v>
      </c>
      <c r="L59" s="4">
        <v>593.16</v>
      </c>
      <c r="M59" s="10">
        <f t="shared" si="1"/>
        <v>0.29005378973105134</v>
      </c>
    </row>
    <row r="60" spans="1:13" x14ac:dyDescent="0.25">
      <c r="A60" s="8" t="s">
        <v>68</v>
      </c>
      <c r="B60" s="5" t="s">
        <v>434</v>
      </c>
      <c r="C60" s="6">
        <f>YEAR(B60)</f>
        <v>2023</v>
      </c>
      <c r="D60" s="5" t="str">
        <f t="shared" si="0"/>
        <v>Sep</v>
      </c>
      <c r="E60" s="4" t="s">
        <v>213</v>
      </c>
      <c r="F60" s="4" t="s">
        <v>214</v>
      </c>
      <c r="G60" s="4" t="s">
        <v>220</v>
      </c>
      <c r="H60" s="4" t="s">
        <v>278</v>
      </c>
      <c r="I60" s="4">
        <v>10</v>
      </c>
      <c r="J60" s="4">
        <v>163</v>
      </c>
      <c r="K60" s="4">
        <v>1630</v>
      </c>
      <c r="L60" s="4">
        <v>450.65</v>
      </c>
      <c r="M60" s="10">
        <f t="shared" si="1"/>
        <v>0.2764723926380368</v>
      </c>
    </row>
    <row r="61" spans="1:13" x14ac:dyDescent="0.25">
      <c r="A61" s="8" t="s">
        <v>69</v>
      </c>
      <c r="B61" s="5" t="s">
        <v>435</v>
      </c>
      <c r="C61" s="6">
        <f>YEAR(B61)</f>
        <v>2022</v>
      </c>
      <c r="D61" s="5" t="str">
        <f t="shared" si="0"/>
        <v>Jan</v>
      </c>
      <c r="E61" s="4" t="s">
        <v>212</v>
      </c>
      <c r="F61" s="4" t="s">
        <v>215</v>
      </c>
      <c r="G61" s="4" t="s">
        <v>222</v>
      </c>
      <c r="H61" s="4" t="s">
        <v>279</v>
      </c>
      <c r="I61" s="4">
        <v>9</v>
      </c>
      <c r="J61" s="4">
        <v>420</v>
      </c>
      <c r="K61" s="4">
        <v>3780</v>
      </c>
      <c r="L61" s="4">
        <v>1094.6600000000001</v>
      </c>
      <c r="M61" s="10">
        <f t="shared" si="1"/>
        <v>0.28959259259259262</v>
      </c>
    </row>
    <row r="62" spans="1:13" x14ac:dyDescent="0.25">
      <c r="A62" s="8" t="s">
        <v>70</v>
      </c>
      <c r="B62" s="5" t="s">
        <v>436</v>
      </c>
      <c r="C62" s="6">
        <f>YEAR(B62)</f>
        <v>2022</v>
      </c>
      <c r="D62" s="5" t="str">
        <f t="shared" si="0"/>
        <v>May</v>
      </c>
      <c r="E62" s="4" t="s">
        <v>210</v>
      </c>
      <c r="F62" s="4" t="s">
        <v>214</v>
      </c>
      <c r="G62" s="4" t="s">
        <v>217</v>
      </c>
      <c r="H62" s="4" t="s">
        <v>280</v>
      </c>
      <c r="I62" s="4">
        <v>7</v>
      </c>
      <c r="J62" s="4">
        <v>101</v>
      </c>
      <c r="K62" s="4">
        <v>707</v>
      </c>
      <c r="L62" s="4">
        <v>120.19</v>
      </c>
      <c r="M62" s="10">
        <f t="shared" si="1"/>
        <v>0.16999999999999998</v>
      </c>
    </row>
    <row r="63" spans="1:13" x14ac:dyDescent="0.25">
      <c r="A63" s="8" t="s">
        <v>71</v>
      </c>
      <c r="B63" s="5" t="s">
        <v>437</v>
      </c>
      <c r="C63" s="6">
        <f>YEAR(B63)</f>
        <v>2022</v>
      </c>
      <c r="D63" s="5" t="str">
        <f t="shared" si="0"/>
        <v>Jun</v>
      </c>
      <c r="E63" s="4" t="s">
        <v>211</v>
      </c>
      <c r="F63" s="4" t="s">
        <v>214</v>
      </c>
      <c r="G63" s="4" t="s">
        <v>224</v>
      </c>
      <c r="H63" s="4" t="s">
        <v>242</v>
      </c>
      <c r="I63" s="4">
        <v>10</v>
      </c>
      <c r="J63" s="4">
        <v>244</v>
      </c>
      <c r="K63" s="4">
        <v>2440</v>
      </c>
      <c r="L63" s="4">
        <v>517.26</v>
      </c>
      <c r="M63" s="10">
        <f t="shared" si="1"/>
        <v>0.21199180327868852</v>
      </c>
    </row>
    <row r="64" spans="1:13" x14ac:dyDescent="0.25">
      <c r="A64" s="8" t="s">
        <v>72</v>
      </c>
      <c r="B64" s="5" t="s">
        <v>438</v>
      </c>
      <c r="C64" s="6">
        <f>YEAR(B64)</f>
        <v>2022</v>
      </c>
      <c r="D64" s="5" t="str">
        <f t="shared" si="0"/>
        <v>Dec</v>
      </c>
      <c r="E64" s="4" t="s">
        <v>211</v>
      </c>
      <c r="F64" s="4" t="s">
        <v>215</v>
      </c>
      <c r="G64" s="4" t="s">
        <v>225</v>
      </c>
      <c r="H64" s="4" t="s">
        <v>281</v>
      </c>
      <c r="I64" s="4">
        <v>4</v>
      </c>
      <c r="J64" s="4">
        <v>388</v>
      </c>
      <c r="K64" s="4">
        <v>1552</v>
      </c>
      <c r="L64" s="4">
        <v>419.51</v>
      </c>
      <c r="M64" s="10">
        <f t="shared" si="1"/>
        <v>0.2703028350515464</v>
      </c>
    </row>
    <row r="65" spans="1:13" x14ac:dyDescent="0.25">
      <c r="A65" s="8" t="s">
        <v>73</v>
      </c>
      <c r="B65" s="5" t="s">
        <v>439</v>
      </c>
      <c r="C65" s="6">
        <f>YEAR(B65)</f>
        <v>2022</v>
      </c>
      <c r="D65" s="5" t="str">
        <f t="shared" si="0"/>
        <v>May</v>
      </c>
      <c r="E65" s="4" t="s">
        <v>211</v>
      </c>
      <c r="F65" s="4" t="s">
        <v>214</v>
      </c>
      <c r="G65" s="4" t="s">
        <v>220</v>
      </c>
      <c r="H65" s="4" t="s">
        <v>282</v>
      </c>
      <c r="I65" s="4">
        <v>5</v>
      </c>
      <c r="J65" s="4">
        <v>480</v>
      </c>
      <c r="K65" s="4">
        <v>2400</v>
      </c>
      <c r="L65" s="4">
        <v>630.16</v>
      </c>
      <c r="M65" s="10">
        <f t="shared" si="1"/>
        <v>0.26256666666666667</v>
      </c>
    </row>
    <row r="66" spans="1:13" x14ac:dyDescent="0.25">
      <c r="A66" s="8" t="s">
        <v>74</v>
      </c>
      <c r="B66" s="5" t="s">
        <v>440</v>
      </c>
      <c r="C66" s="6">
        <f>YEAR(B66)</f>
        <v>2022</v>
      </c>
      <c r="D66" s="5" t="str">
        <f t="shared" si="0"/>
        <v>May</v>
      </c>
      <c r="E66" s="4" t="s">
        <v>211</v>
      </c>
      <c r="F66" s="4" t="s">
        <v>214</v>
      </c>
      <c r="G66" s="4" t="s">
        <v>220</v>
      </c>
      <c r="H66" s="4" t="s">
        <v>283</v>
      </c>
      <c r="I66" s="4">
        <v>10</v>
      </c>
      <c r="J66" s="4">
        <v>85</v>
      </c>
      <c r="K66" s="4">
        <v>850</v>
      </c>
      <c r="L66" s="4">
        <v>205.1</v>
      </c>
      <c r="M66" s="10">
        <f t="shared" si="1"/>
        <v>0.24129411764705883</v>
      </c>
    </row>
    <row r="67" spans="1:13" x14ac:dyDescent="0.25">
      <c r="A67" s="8" t="s">
        <v>75</v>
      </c>
      <c r="B67" s="5" t="s">
        <v>441</v>
      </c>
      <c r="C67" s="6">
        <f>YEAR(B67)</f>
        <v>2022</v>
      </c>
      <c r="D67" s="5" t="str">
        <f t="shared" ref="D67:D130" si="2">TEXT(B67,"mmm")</f>
        <v>Apr</v>
      </c>
      <c r="E67" s="4" t="s">
        <v>211</v>
      </c>
      <c r="F67" s="4" t="s">
        <v>216</v>
      </c>
      <c r="G67" s="4" t="s">
        <v>219</v>
      </c>
      <c r="H67" s="4" t="s">
        <v>284</v>
      </c>
      <c r="I67" s="4">
        <v>9</v>
      </c>
      <c r="J67" s="4">
        <v>494</v>
      </c>
      <c r="K67" s="4">
        <v>4446</v>
      </c>
      <c r="L67" s="4">
        <v>930.75</v>
      </c>
      <c r="M67" s="10">
        <f t="shared" ref="M67:M130" si="3">IF(K67=0,0,L67/K67)</f>
        <v>0.20934547908232118</v>
      </c>
    </row>
    <row r="68" spans="1:13" x14ac:dyDescent="0.25">
      <c r="A68" s="8" t="s">
        <v>76</v>
      </c>
      <c r="B68" s="5" t="s">
        <v>442</v>
      </c>
      <c r="C68" s="6">
        <f>YEAR(B68)</f>
        <v>2023</v>
      </c>
      <c r="D68" s="5" t="str">
        <f t="shared" si="2"/>
        <v>Apr</v>
      </c>
      <c r="E68" s="4" t="s">
        <v>211</v>
      </c>
      <c r="F68" s="4" t="s">
        <v>214</v>
      </c>
      <c r="G68" s="4" t="s">
        <v>220</v>
      </c>
      <c r="H68" s="4" t="s">
        <v>285</v>
      </c>
      <c r="I68" s="4">
        <v>4</v>
      </c>
      <c r="J68" s="4">
        <v>77</v>
      </c>
      <c r="K68" s="4">
        <v>308</v>
      </c>
      <c r="L68" s="4">
        <v>80.84</v>
      </c>
      <c r="M68" s="10">
        <f t="shared" si="3"/>
        <v>0.26246753246753246</v>
      </c>
    </row>
    <row r="69" spans="1:13" x14ac:dyDescent="0.25">
      <c r="A69" s="8" t="s">
        <v>77</v>
      </c>
      <c r="B69" s="5" t="s">
        <v>443</v>
      </c>
      <c r="C69" s="6">
        <f>YEAR(B69)</f>
        <v>2022</v>
      </c>
      <c r="D69" s="5" t="str">
        <f t="shared" si="2"/>
        <v>Nov</v>
      </c>
      <c r="E69" s="4" t="s">
        <v>211</v>
      </c>
      <c r="F69" s="4" t="s">
        <v>216</v>
      </c>
      <c r="G69" s="4" t="s">
        <v>219</v>
      </c>
      <c r="H69" s="4" t="s">
        <v>286</v>
      </c>
      <c r="I69" s="4">
        <v>3</v>
      </c>
      <c r="J69" s="4">
        <v>446</v>
      </c>
      <c r="K69" s="4">
        <v>1338</v>
      </c>
      <c r="L69" s="4">
        <v>340.02</v>
      </c>
      <c r="M69" s="10">
        <f t="shared" si="3"/>
        <v>0.25412556053811658</v>
      </c>
    </row>
    <row r="70" spans="1:13" x14ac:dyDescent="0.25">
      <c r="A70" s="8" t="s">
        <v>78</v>
      </c>
      <c r="B70" s="5" t="s">
        <v>444</v>
      </c>
      <c r="C70" s="6">
        <f>YEAR(B70)</f>
        <v>2023</v>
      </c>
      <c r="D70" s="5" t="str">
        <f t="shared" si="2"/>
        <v>May</v>
      </c>
      <c r="E70" s="4" t="s">
        <v>212</v>
      </c>
      <c r="F70" s="4" t="s">
        <v>216</v>
      </c>
      <c r="G70" s="4" t="s">
        <v>221</v>
      </c>
      <c r="H70" s="4" t="s">
        <v>287</v>
      </c>
      <c r="I70" s="4">
        <v>7</v>
      </c>
      <c r="J70" s="4">
        <v>156</v>
      </c>
      <c r="K70" s="4">
        <v>1092</v>
      </c>
      <c r="L70" s="4">
        <v>128.36000000000001</v>
      </c>
      <c r="M70" s="10">
        <f t="shared" si="3"/>
        <v>0.11754578754578755</v>
      </c>
    </row>
    <row r="71" spans="1:13" x14ac:dyDescent="0.25">
      <c r="A71" s="8" t="s">
        <v>79</v>
      </c>
      <c r="B71" s="5" t="s">
        <v>445</v>
      </c>
      <c r="C71" s="6">
        <f>YEAR(B71)</f>
        <v>2023</v>
      </c>
      <c r="D71" s="5" t="str">
        <f t="shared" si="2"/>
        <v>Mar</v>
      </c>
      <c r="E71" s="4" t="s">
        <v>211</v>
      </c>
      <c r="F71" s="4" t="s">
        <v>214</v>
      </c>
      <c r="G71" s="4" t="s">
        <v>217</v>
      </c>
      <c r="H71" s="4" t="s">
        <v>288</v>
      </c>
      <c r="I71" s="4">
        <v>5</v>
      </c>
      <c r="J71" s="4">
        <v>397</v>
      </c>
      <c r="K71" s="4">
        <v>1985</v>
      </c>
      <c r="L71" s="4">
        <v>453.11</v>
      </c>
      <c r="M71" s="10">
        <f t="shared" si="3"/>
        <v>0.2282670025188917</v>
      </c>
    </row>
    <row r="72" spans="1:13" x14ac:dyDescent="0.25">
      <c r="A72" s="8" t="s">
        <v>80</v>
      </c>
      <c r="B72" s="5" t="s">
        <v>446</v>
      </c>
      <c r="C72" s="6">
        <f>YEAR(B72)</f>
        <v>2022</v>
      </c>
      <c r="D72" s="5" t="str">
        <f t="shared" si="2"/>
        <v>May</v>
      </c>
      <c r="E72" s="4" t="s">
        <v>210</v>
      </c>
      <c r="F72" s="4" t="s">
        <v>215</v>
      </c>
      <c r="G72" s="4" t="s">
        <v>218</v>
      </c>
      <c r="H72" s="4" t="s">
        <v>289</v>
      </c>
      <c r="I72" s="4">
        <v>4</v>
      </c>
      <c r="J72" s="4">
        <v>190</v>
      </c>
      <c r="K72" s="4">
        <v>760</v>
      </c>
      <c r="L72" s="4">
        <v>217.88</v>
      </c>
      <c r="M72" s="10">
        <f t="shared" si="3"/>
        <v>0.28668421052631576</v>
      </c>
    </row>
    <row r="73" spans="1:13" x14ac:dyDescent="0.25">
      <c r="A73" s="8" t="s">
        <v>81</v>
      </c>
      <c r="B73" s="5" t="s">
        <v>447</v>
      </c>
      <c r="C73" s="6">
        <f>YEAR(B73)</f>
        <v>2022</v>
      </c>
      <c r="D73" s="5" t="str">
        <f t="shared" si="2"/>
        <v>Dec</v>
      </c>
      <c r="E73" s="4" t="s">
        <v>210</v>
      </c>
      <c r="F73" s="4" t="s">
        <v>216</v>
      </c>
      <c r="G73" s="4" t="s">
        <v>221</v>
      </c>
      <c r="H73" s="4" t="s">
        <v>261</v>
      </c>
      <c r="I73" s="4">
        <v>1</v>
      </c>
      <c r="J73" s="4">
        <v>252</v>
      </c>
      <c r="K73" s="4">
        <v>252</v>
      </c>
      <c r="L73" s="4">
        <v>53.24</v>
      </c>
      <c r="M73" s="10">
        <f t="shared" si="3"/>
        <v>0.21126984126984127</v>
      </c>
    </row>
    <row r="74" spans="1:13" x14ac:dyDescent="0.25">
      <c r="A74" s="8" t="s">
        <v>82</v>
      </c>
      <c r="B74" s="5" t="s">
        <v>448</v>
      </c>
      <c r="C74" s="6">
        <f>YEAR(B74)</f>
        <v>2023</v>
      </c>
      <c r="D74" s="5" t="str">
        <f t="shared" si="2"/>
        <v>Apr</v>
      </c>
      <c r="E74" s="4" t="s">
        <v>210</v>
      </c>
      <c r="F74" s="4" t="s">
        <v>214</v>
      </c>
      <c r="G74" s="4" t="s">
        <v>224</v>
      </c>
      <c r="H74" s="4" t="s">
        <v>290</v>
      </c>
      <c r="I74" s="4">
        <v>3</v>
      </c>
      <c r="J74" s="4">
        <v>419</v>
      </c>
      <c r="K74" s="4">
        <v>1257</v>
      </c>
      <c r="L74" s="4">
        <v>182.05</v>
      </c>
      <c r="M74" s="10">
        <f t="shared" si="3"/>
        <v>0.14482895783611774</v>
      </c>
    </row>
    <row r="75" spans="1:13" x14ac:dyDescent="0.25">
      <c r="A75" s="8" t="s">
        <v>83</v>
      </c>
      <c r="B75" s="5" t="s">
        <v>449</v>
      </c>
      <c r="C75" s="6">
        <f>YEAR(B75)</f>
        <v>2022</v>
      </c>
      <c r="D75" s="5" t="str">
        <f t="shared" si="2"/>
        <v>Apr</v>
      </c>
      <c r="E75" s="4" t="s">
        <v>213</v>
      </c>
      <c r="F75" s="4" t="s">
        <v>216</v>
      </c>
      <c r="G75" s="4" t="s">
        <v>221</v>
      </c>
      <c r="H75" s="4" t="s">
        <v>291</v>
      </c>
      <c r="I75" s="4">
        <v>4</v>
      </c>
      <c r="J75" s="4">
        <v>371</v>
      </c>
      <c r="K75" s="4">
        <v>1484</v>
      </c>
      <c r="L75" s="4">
        <v>318.45</v>
      </c>
      <c r="M75" s="10">
        <f t="shared" si="3"/>
        <v>0.214588948787062</v>
      </c>
    </row>
    <row r="76" spans="1:13" x14ac:dyDescent="0.25">
      <c r="A76" s="8" t="s">
        <v>84</v>
      </c>
      <c r="B76" s="5" t="s">
        <v>434</v>
      </c>
      <c r="C76" s="6">
        <f>YEAR(B76)</f>
        <v>2023</v>
      </c>
      <c r="D76" s="5" t="str">
        <f t="shared" si="2"/>
        <v>Sep</v>
      </c>
      <c r="E76" s="4" t="s">
        <v>212</v>
      </c>
      <c r="F76" s="4" t="s">
        <v>216</v>
      </c>
      <c r="G76" s="4" t="s">
        <v>223</v>
      </c>
      <c r="H76" s="4" t="s">
        <v>292</v>
      </c>
      <c r="I76" s="4">
        <v>8</v>
      </c>
      <c r="J76" s="4">
        <v>337</v>
      </c>
      <c r="K76" s="4">
        <v>2696</v>
      </c>
      <c r="L76" s="4">
        <v>393.67</v>
      </c>
      <c r="M76" s="10">
        <f t="shared" si="3"/>
        <v>0.14602002967359051</v>
      </c>
    </row>
    <row r="77" spans="1:13" x14ac:dyDescent="0.25">
      <c r="A77" s="8" t="s">
        <v>85</v>
      </c>
      <c r="B77" s="5" t="s">
        <v>450</v>
      </c>
      <c r="C77" s="6">
        <f>YEAR(B77)</f>
        <v>2022</v>
      </c>
      <c r="D77" s="5" t="str">
        <f t="shared" si="2"/>
        <v>Aug</v>
      </c>
      <c r="E77" s="4" t="s">
        <v>210</v>
      </c>
      <c r="F77" s="4" t="s">
        <v>215</v>
      </c>
      <c r="G77" s="4" t="s">
        <v>222</v>
      </c>
      <c r="H77" s="4" t="s">
        <v>293</v>
      </c>
      <c r="I77" s="4">
        <v>6</v>
      </c>
      <c r="J77" s="4">
        <v>78</v>
      </c>
      <c r="K77" s="4">
        <v>468</v>
      </c>
      <c r="L77" s="4">
        <v>129.29</v>
      </c>
      <c r="M77" s="10">
        <f t="shared" si="3"/>
        <v>0.27626068376068375</v>
      </c>
    </row>
    <row r="78" spans="1:13" x14ac:dyDescent="0.25">
      <c r="A78" s="8" t="s">
        <v>86</v>
      </c>
      <c r="B78" s="5" t="s">
        <v>421</v>
      </c>
      <c r="C78" s="6">
        <f>YEAR(B78)</f>
        <v>2023</v>
      </c>
      <c r="D78" s="5" t="str">
        <f t="shared" si="2"/>
        <v>Nov</v>
      </c>
      <c r="E78" s="4" t="s">
        <v>212</v>
      </c>
      <c r="F78" s="4" t="s">
        <v>214</v>
      </c>
      <c r="G78" s="4" t="s">
        <v>220</v>
      </c>
      <c r="H78" s="4" t="s">
        <v>294</v>
      </c>
      <c r="I78" s="4">
        <v>3</v>
      </c>
      <c r="J78" s="4">
        <v>422</v>
      </c>
      <c r="K78" s="4">
        <v>1266</v>
      </c>
      <c r="L78" s="4">
        <v>196.41</v>
      </c>
      <c r="M78" s="10">
        <f t="shared" si="3"/>
        <v>0.15514218009478672</v>
      </c>
    </row>
    <row r="79" spans="1:13" x14ac:dyDescent="0.25">
      <c r="A79" s="8" t="s">
        <v>87</v>
      </c>
      <c r="B79" s="5" t="s">
        <v>451</v>
      </c>
      <c r="C79" s="6">
        <f>YEAR(B79)</f>
        <v>2023</v>
      </c>
      <c r="D79" s="5" t="str">
        <f t="shared" si="2"/>
        <v>Sep</v>
      </c>
      <c r="E79" s="4" t="s">
        <v>210</v>
      </c>
      <c r="F79" s="4" t="s">
        <v>215</v>
      </c>
      <c r="G79" s="4" t="s">
        <v>222</v>
      </c>
      <c r="H79" s="4" t="s">
        <v>295</v>
      </c>
      <c r="I79" s="4">
        <v>8</v>
      </c>
      <c r="J79" s="4">
        <v>495</v>
      </c>
      <c r="K79" s="4">
        <v>3960</v>
      </c>
      <c r="L79" s="4">
        <v>729.19</v>
      </c>
      <c r="M79" s="10">
        <f t="shared" si="3"/>
        <v>0.18413888888888891</v>
      </c>
    </row>
    <row r="80" spans="1:13" x14ac:dyDescent="0.25">
      <c r="A80" s="8" t="s">
        <v>88</v>
      </c>
      <c r="B80" s="5" t="s">
        <v>424</v>
      </c>
      <c r="C80" s="6">
        <f>YEAR(B80)</f>
        <v>2023</v>
      </c>
      <c r="D80" s="5" t="str">
        <f t="shared" si="2"/>
        <v>Nov</v>
      </c>
      <c r="E80" s="4" t="s">
        <v>210</v>
      </c>
      <c r="F80" s="4" t="s">
        <v>215</v>
      </c>
      <c r="G80" s="4" t="s">
        <v>225</v>
      </c>
      <c r="H80" s="4" t="s">
        <v>296</v>
      </c>
      <c r="I80" s="4">
        <v>1</v>
      </c>
      <c r="J80" s="4">
        <v>335</v>
      </c>
      <c r="K80" s="4">
        <v>335</v>
      </c>
      <c r="L80" s="4">
        <v>66.23</v>
      </c>
      <c r="M80" s="10">
        <f t="shared" si="3"/>
        <v>0.19770149253731345</v>
      </c>
    </row>
    <row r="81" spans="1:13" x14ac:dyDescent="0.25">
      <c r="A81" s="8" t="s">
        <v>89</v>
      </c>
      <c r="B81" s="5" t="s">
        <v>452</v>
      </c>
      <c r="C81" s="6">
        <f>YEAR(B81)</f>
        <v>2022</v>
      </c>
      <c r="D81" s="5" t="str">
        <f t="shared" si="2"/>
        <v>May</v>
      </c>
      <c r="E81" s="4" t="s">
        <v>211</v>
      </c>
      <c r="F81" s="4" t="s">
        <v>216</v>
      </c>
      <c r="G81" s="4" t="s">
        <v>219</v>
      </c>
      <c r="H81" s="4" t="s">
        <v>286</v>
      </c>
      <c r="I81" s="4">
        <v>9</v>
      </c>
      <c r="J81" s="4">
        <v>254</v>
      </c>
      <c r="K81" s="4">
        <v>2286</v>
      </c>
      <c r="L81" s="4">
        <v>288.2</v>
      </c>
      <c r="M81" s="10">
        <f t="shared" si="3"/>
        <v>0.12607174103237095</v>
      </c>
    </row>
    <row r="82" spans="1:13" x14ac:dyDescent="0.25">
      <c r="A82" s="8" t="s">
        <v>90</v>
      </c>
      <c r="B82" s="5" t="s">
        <v>453</v>
      </c>
      <c r="C82" s="6">
        <f>YEAR(B82)</f>
        <v>2022</v>
      </c>
      <c r="D82" s="5" t="str">
        <f t="shared" si="2"/>
        <v>Oct</v>
      </c>
      <c r="E82" s="4" t="s">
        <v>210</v>
      </c>
      <c r="F82" s="4" t="s">
        <v>215</v>
      </c>
      <c r="G82" s="4" t="s">
        <v>218</v>
      </c>
      <c r="H82" s="4" t="s">
        <v>297</v>
      </c>
      <c r="I82" s="4">
        <v>5</v>
      </c>
      <c r="J82" s="4">
        <v>224</v>
      </c>
      <c r="K82" s="4">
        <v>1120</v>
      </c>
      <c r="L82" s="4">
        <v>214.12</v>
      </c>
      <c r="M82" s="10">
        <f t="shared" si="3"/>
        <v>0.19117857142857142</v>
      </c>
    </row>
    <row r="83" spans="1:13" x14ac:dyDescent="0.25">
      <c r="A83" s="8" t="s">
        <v>91</v>
      </c>
      <c r="B83" s="5" t="s">
        <v>454</v>
      </c>
      <c r="C83" s="6">
        <f>YEAR(B83)</f>
        <v>2023</v>
      </c>
      <c r="D83" s="5" t="str">
        <f t="shared" si="2"/>
        <v>Aug</v>
      </c>
      <c r="E83" s="4" t="s">
        <v>213</v>
      </c>
      <c r="F83" s="4" t="s">
        <v>216</v>
      </c>
      <c r="G83" s="4" t="s">
        <v>223</v>
      </c>
      <c r="H83" s="4" t="s">
        <v>298</v>
      </c>
      <c r="I83" s="4">
        <v>2</v>
      </c>
      <c r="J83" s="4">
        <v>335</v>
      </c>
      <c r="K83" s="4">
        <v>670</v>
      </c>
      <c r="L83" s="4">
        <v>141.44999999999999</v>
      </c>
      <c r="M83" s="10">
        <f t="shared" si="3"/>
        <v>0.21111940298507462</v>
      </c>
    </row>
    <row r="84" spans="1:13" x14ac:dyDescent="0.25">
      <c r="A84" s="8" t="s">
        <v>92</v>
      </c>
      <c r="B84" s="5" t="s">
        <v>455</v>
      </c>
      <c r="C84" s="6">
        <f>YEAR(B84)</f>
        <v>2022</v>
      </c>
      <c r="D84" s="5" t="str">
        <f t="shared" si="2"/>
        <v>Jun</v>
      </c>
      <c r="E84" s="4" t="s">
        <v>211</v>
      </c>
      <c r="F84" s="4" t="s">
        <v>214</v>
      </c>
      <c r="G84" s="4" t="s">
        <v>224</v>
      </c>
      <c r="H84" s="4" t="s">
        <v>299</v>
      </c>
      <c r="I84" s="4">
        <v>2</v>
      </c>
      <c r="J84" s="4">
        <v>464</v>
      </c>
      <c r="K84" s="4">
        <v>928</v>
      </c>
      <c r="L84" s="4">
        <v>221.89</v>
      </c>
      <c r="M84" s="10">
        <f t="shared" si="3"/>
        <v>0.23910560344827586</v>
      </c>
    </row>
    <row r="85" spans="1:13" x14ac:dyDescent="0.25">
      <c r="A85" s="8" t="s">
        <v>93</v>
      </c>
      <c r="B85" s="5" t="s">
        <v>456</v>
      </c>
      <c r="C85" s="6">
        <f>YEAR(B85)</f>
        <v>2022</v>
      </c>
      <c r="D85" s="5" t="str">
        <f t="shared" si="2"/>
        <v>Mar</v>
      </c>
      <c r="E85" s="4" t="s">
        <v>210</v>
      </c>
      <c r="F85" s="4" t="s">
        <v>216</v>
      </c>
      <c r="G85" s="4" t="s">
        <v>221</v>
      </c>
      <c r="H85" s="4" t="s">
        <v>300</v>
      </c>
      <c r="I85" s="4">
        <v>7</v>
      </c>
      <c r="J85" s="4">
        <v>233</v>
      </c>
      <c r="K85" s="4">
        <v>1631</v>
      </c>
      <c r="L85" s="4">
        <v>314.5</v>
      </c>
      <c r="M85" s="10">
        <f t="shared" si="3"/>
        <v>0.19282648681790313</v>
      </c>
    </row>
    <row r="86" spans="1:13" x14ac:dyDescent="0.25">
      <c r="A86" s="8" t="s">
        <v>94</v>
      </c>
      <c r="B86" s="5" t="s">
        <v>396</v>
      </c>
      <c r="C86" s="6">
        <f>YEAR(B86)</f>
        <v>2023</v>
      </c>
      <c r="D86" s="5" t="str">
        <f t="shared" si="2"/>
        <v>Oct</v>
      </c>
      <c r="E86" s="4" t="s">
        <v>211</v>
      </c>
      <c r="F86" s="4" t="s">
        <v>216</v>
      </c>
      <c r="G86" s="4" t="s">
        <v>219</v>
      </c>
      <c r="H86" s="4" t="s">
        <v>301</v>
      </c>
      <c r="I86" s="4">
        <v>7</v>
      </c>
      <c r="J86" s="4">
        <v>136</v>
      </c>
      <c r="K86" s="4">
        <v>952</v>
      </c>
      <c r="L86" s="4">
        <v>231.11</v>
      </c>
      <c r="M86" s="10">
        <f t="shared" si="3"/>
        <v>0.24276260504201683</v>
      </c>
    </row>
    <row r="87" spans="1:13" x14ac:dyDescent="0.25">
      <c r="A87" s="8" t="s">
        <v>95</v>
      </c>
      <c r="B87" s="5" t="s">
        <v>457</v>
      </c>
      <c r="C87" s="6">
        <f>YEAR(B87)</f>
        <v>2023</v>
      </c>
      <c r="D87" s="5" t="str">
        <f t="shared" si="2"/>
        <v>Jul</v>
      </c>
      <c r="E87" s="4" t="s">
        <v>210</v>
      </c>
      <c r="F87" s="4" t="s">
        <v>216</v>
      </c>
      <c r="G87" s="4" t="s">
        <v>219</v>
      </c>
      <c r="H87" s="4" t="s">
        <v>302</v>
      </c>
      <c r="I87" s="4">
        <v>7</v>
      </c>
      <c r="J87" s="4">
        <v>453</v>
      </c>
      <c r="K87" s="4">
        <v>3171</v>
      </c>
      <c r="L87" s="4">
        <v>775.16</v>
      </c>
      <c r="M87" s="10">
        <f t="shared" si="3"/>
        <v>0.24445285398927782</v>
      </c>
    </row>
    <row r="88" spans="1:13" x14ac:dyDescent="0.25">
      <c r="A88" s="8" t="s">
        <v>96</v>
      </c>
      <c r="B88" s="5" t="s">
        <v>458</v>
      </c>
      <c r="C88" s="6">
        <f>YEAR(B88)</f>
        <v>2022</v>
      </c>
      <c r="D88" s="5" t="str">
        <f t="shared" si="2"/>
        <v>Nov</v>
      </c>
      <c r="E88" s="4" t="s">
        <v>213</v>
      </c>
      <c r="F88" s="4" t="s">
        <v>215</v>
      </c>
      <c r="G88" s="4" t="s">
        <v>222</v>
      </c>
      <c r="H88" s="4" t="s">
        <v>303</v>
      </c>
      <c r="I88" s="4">
        <v>6</v>
      </c>
      <c r="J88" s="4">
        <v>221</v>
      </c>
      <c r="K88" s="4">
        <v>1326</v>
      </c>
      <c r="L88" s="4">
        <v>315.83999999999997</v>
      </c>
      <c r="M88" s="10">
        <f t="shared" si="3"/>
        <v>0.23819004524886875</v>
      </c>
    </row>
    <row r="89" spans="1:13" x14ac:dyDescent="0.25">
      <c r="A89" s="8" t="s">
        <v>97</v>
      </c>
      <c r="B89" s="5" t="s">
        <v>459</v>
      </c>
      <c r="C89" s="6">
        <f>YEAR(B89)</f>
        <v>2023</v>
      </c>
      <c r="D89" s="5" t="str">
        <f t="shared" si="2"/>
        <v>Jan</v>
      </c>
      <c r="E89" s="4" t="s">
        <v>212</v>
      </c>
      <c r="F89" s="4" t="s">
        <v>216</v>
      </c>
      <c r="G89" s="4" t="s">
        <v>223</v>
      </c>
      <c r="H89" s="4" t="s">
        <v>304</v>
      </c>
      <c r="I89" s="4">
        <v>2</v>
      </c>
      <c r="J89" s="4">
        <v>345</v>
      </c>
      <c r="K89" s="4">
        <v>690</v>
      </c>
      <c r="L89" s="4">
        <v>130.34</v>
      </c>
      <c r="M89" s="10">
        <f t="shared" si="3"/>
        <v>0.18889855072463768</v>
      </c>
    </row>
    <row r="90" spans="1:13" x14ac:dyDescent="0.25">
      <c r="A90" s="8" t="s">
        <v>98</v>
      </c>
      <c r="B90" s="5" t="s">
        <v>422</v>
      </c>
      <c r="C90" s="6">
        <f>YEAR(B90)</f>
        <v>2023</v>
      </c>
      <c r="D90" s="5" t="str">
        <f t="shared" si="2"/>
        <v>Sep</v>
      </c>
      <c r="E90" s="4" t="s">
        <v>212</v>
      </c>
      <c r="F90" s="4" t="s">
        <v>215</v>
      </c>
      <c r="G90" s="4" t="s">
        <v>218</v>
      </c>
      <c r="H90" s="4" t="s">
        <v>305</v>
      </c>
      <c r="I90" s="4">
        <v>9</v>
      </c>
      <c r="J90" s="4">
        <v>86</v>
      </c>
      <c r="K90" s="4">
        <v>774</v>
      </c>
      <c r="L90" s="4">
        <v>197.76</v>
      </c>
      <c r="M90" s="10">
        <f t="shared" si="3"/>
        <v>0.25550387596899221</v>
      </c>
    </row>
    <row r="91" spans="1:13" x14ac:dyDescent="0.25">
      <c r="A91" s="8" t="s">
        <v>99</v>
      </c>
      <c r="B91" s="5" t="s">
        <v>460</v>
      </c>
      <c r="C91" s="6">
        <f>YEAR(B91)</f>
        <v>2023</v>
      </c>
      <c r="D91" s="5" t="str">
        <f t="shared" si="2"/>
        <v>Aug</v>
      </c>
      <c r="E91" s="4" t="s">
        <v>211</v>
      </c>
      <c r="F91" s="4" t="s">
        <v>216</v>
      </c>
      <c r="G91" s="4" t="s">
        <v>223</v>
      </c>
      <c r="H91" s="4" t="s">
        <v>306</v>
      </c>
      <c r="I91" s="4">
        <v>7</v>
      </c>
      <c r="J91" s="4">
        <v>485</v>
      </c>
      <c r="K91" s="4">
        <v>3395</v>
      </c>
      <c r="L91" s="4">
        <v>986.7</v>
      </c>
      <c r="M91" s="10">
        <f t="shared" si="3"/>
        <v>0.29063328424153168</v>
      </c>
    </row>
    <row r="92" spans="1:13" x14ac:dyDescent="0.25">
      <c r="A92" s="8" t="s">
        <v>100</v>
      </c>
      <c r="B92" s="5" t="s">
        <v>461</v>
      </c>
      <c r="C92" s="6">
        <f>YEAR(B92)</f>
        <v>2023</v>
      </c>
      <c r="D92" s="5" t="str">
        <f t="shared" si="2"/>
        <v>Jul</v>
      </c>
      <c r="E92" s="4" t="s">
        <v>210</v>
      </c>
      <c r="F92" s="4" t="s">
        <v>214</v>
      </c>
      <c r="G92" s="4" t="s">
        <v>224</v>
      </c>
      <c r="H92" s="4" t="s">
        <v>307</v>
      </c>
      <c r="I92" s="4">
        <v>2</v>
      </c>
      <c r="J92" s="4">
        <v>47</v>
      </c>
      <c r="K92" s="4">
        <v>94</v>
      </c>
      <c r="L92" s="4">
        <v>21.78</v>
      </c>
      <c r="M92" s="10">
        <f t="shared" si="3"/>
        <v>0.23170212765957449</v>
      </c>
    </row>
    <row r="93" spans="1:13" x14ac:dyDescent="0.25">
      <c r="A93" s="8" t="s">
        <v>101</v>
      </c>
      <c r="B93" s="5" t="s">
        <v>462</v>
      </c>
      <c r="C93" s="6">
        <f>YEAR(B93)</f>
        <v>2022</v>
      </c>
      <c r="D93" s="5" t="str">
        <f t="shared" si="2"/>
        <v>Feb</v>
      </c>
      <c r="E93" s="4" t="s">
        <v>211</v>
      </c>
      <c r="F93" s="4" t="s">
        <v>214</v>
      </c>
      <c r="G93" s="4" t="s">
        <v>217</v>
      </c>
      <c r="H93" s="4" t="s">
        <v>308</v>
      </c>
      <c r="I93" s="4">
        <v>4</v>
      </c>
      <c r="J93" s="4">
        <v>118</v>
      </c>
      <c r="K93" s="4">
        <v>472</v>
      </c>
      <c r="L93" s="4">
        <v>100.18</v>
      </c>
      <c r="M93" s="10">
        <f t="shared" si="3"/>
        <v>0.21224576271186443</v>
      </c>
    </row>
    <row r="94" spans="1:13" x14ac:dyDescent="0.25">
      <c r="A94" s="8" t="s">
        <v>102</v>
      </c>
      <c r="B94" s="5" t="s">
        <v>463</v>
      </c>
      <c r="C94" s="6">
        <f>YEAR(B94)</f>
        <v>2022</v>
      </c>
      <c r="D94" s="5" t="str">
        <f t="shared" si="2"/>
        <v>Dec</v>
      </c>
      <c r="E94" s="4" t="s">
        <v>212</v>
      </c>
      <c r="F94" s="4" t="s">
        <v>215</v>
      </c>
      <c r="G94" s="4" t="s">
        <v>222</v>
      </c>
      <c r="H94" s="4" t="s">
        <v>309</v>
      </c>
      <c r="I94" s="4">
        <v>7</v>
      </c>
      <c r="J94" s="4">
        <v>497</v>
      </c>
      <c r="K94" s="4">
        <v>3479</v>
      </c>
      <c r="L94" s="4">
        <v>517.74</v>
      </c>
      <c r="M94" s="10">
        <f t="shared" si="3"/>
        <v>0.14881862604196608</v>
      </c>
    </row>
    <row r="95" spans="1:13" x14ac:dyDescent="0.25">
      <c r="A95" s="8" t="s">
        <v>103</v>
      </c>
      <c r="B95" s="5" t="s">
        <v>464</v>
      </c>
      <c r="C95" s="6">
        <f>YEAR(B95)</f>
        <v>2022</v>
      </c>
      <c r="D95" s="5" t="str">
        <f t="shared" si="2"/>
        <v>Feb</v>
      </c>
      <c r="E95" s="4" t="s">
        <v>212</v>
      </c>
      <c r="F95" s="4" t="s">
        <v>215</v>
      </c>
      <c r="G95" s="4" t="s">
        <v>222</v>
      </c>
      <c r="H95" s="4" t="s">
        <v>310</v>
      </c>
      <c r="I95" s="4">
        <v>5</v>
      </c>
      <c r="J95" s="4">
        <v>320</v>
      </c>
      <c r="K95" s="4">
        <v>1600</v>
      </c>
      <c r="L95" s="4">
        <v>451.78</v>
      </c>
      <c r="M95" s="10">
        <f t="shared" si="3"/>
        <v>0.28236249999999996</v>
      </c>
    </row>
    <row r="96" spans="1:13" x14ac:dyDescent="0.25">
      <c r="A96" s="8" t="s">
        <v>104</v>
      </c>
      <c r="B96" s="5" t="s">
        <v>465</v>
      </c>
      <c r="C96" s="6">
        <f>YEAR(B96)</f>
        <v>2022</v>
      </c>
      <c r="D96" s="5" t="str">
        <f t="shared" si="2"/>
        <v>Feb</v>
      </c>
      <c r="E96" s="4" t="s">
        <v>211</v>
      </c>
      <c r="F96" s="4" t="s">
        <v>216</v>
      </c>
      <c r="G96" s="4" t="s">
        <v>219</v>
      </c>
      <c r="H96" s="4" t="s">
        <v>249</v>
      </c>
      <c r="I96" s="4">
        <v>10</v>
      </c>
      <c r="J96" s="4">
        <v>337</v>
      </c>
      <c r="K96" s="4">
        <v>3370</v>
      </c>
      <c r="L96" s="4">
        <v>477.33</v>
      </c>
      <c r="M96" s="10">
        <f t="shared" si="3"/>
        <v>0.14164094955489615</v>
      </c>
    </row>
    <row r="97" spans="1:13" x14ac:dyDescent="0.25">
      <c r="A97" s="8" t="s">
        <v>105</v>
      </c>
      <c r="B97" s="5" t="s">
        <v>466</v>
      </c>
      <c r="C97" s="6">
        <f>YEAR(B97)</f>
        <v>2022</v>
      </c>
      <c r="D97" s="5" t="str">
        <f t="shared" si="2"/>
        <v>Jul</v>
      </c>
      <c r="E97" s="4" t="s">
        <v>211</v>
      </c>
      <c r="F97" s="4" t="s">
        <v>214</v>
      </c>
      <c r="G97" s="4" t="s">
        <v>224</v>
      </c>
      <c r="H97" s="4" t="s">
        <v>311</v>
      </c>
      <c r="I97" s="4">
        <v>3</v>
      </c>
      <c r="J97" s="4">
        <v>259</v>
      </c>
      <c r="K97" s="4">
        <v>777</v>
      </c>
      <c r="L97" s="4">
        <v>224.07</v>
      </c>
      <c r="M97" s="10">
        <f t="shared" si="3"/>
        <v>0.28837837837837837</v>
      </c>
    </row>
    <row r="98" spans="1:13" x14ac:dyDescent="0.25">
      <c r="A98" s="8" t="s">
        <v>106</v>
      </c>
      <c r="B98" s="5" t="s">
        <v>467</v>
      </c>
      <c r="C98" s="6">
        <f>YEAR(B98)</f>
        <v>2022</v>
      </c>
      <c r="D98" s="5" t="str">
        <f t="shared" si="2"/>
        <v>Jul</v>
      </c>
      <c r="E98" s="4" t="s">
        <v>212</v>
      </c>
      <c r="F98" s="4" t="s">
        <v>216</v>
      </c>
      <c r="G98" s="4" t="s">
        <v>221</v>
      </c>
      <c r="H98" s="4" t="s">
        <v>248</v>
      </c>
      <c r="I98" s="4">
        <v>6</v>
      </c>
      <c r="J98" s="4">
        <v>331</v>
      </c>
      <c r="K98" s="4">
        <v>1986</v>
      </c>
      <c r="L98" s="4">
        <v>444.81</v>
      </c>
      <c r="M98" s="10">
        <f t="shared" si="3"/>
        <v>0.22397280966767372</v>
      </c>
    </row>
    <row r="99" spans="1:13" x14ac:dyDescent="0.25">
      <c r="A99" s="8" t="s">
        <v>107</v>
      </c>
      <c r="B99" s="5" t="s">
        <v>468</v>
      </c>
      <c r="C99" s="6">
        <f>YEAR(B99)</f>
        <v>2023</v>
      </c>
      <c r="D99" s="5" t="str">
        <f t="shared" si="2"/>
        <v>Oct</v>
      </c>
      <c r="E99" s="4" t="s">
        <v>213</v>
      </c>
      <c r="F99" s="4" t="s">
        <v>215</v>
      </c>
      <c r="G99" s="4" t="s">
        <v>225</v>
      </c>
      <c r="H99" s="4" t="s">
        <v>267</v>
      </c>
      <c r="I99" s="4">
        <v>9</v>
      </c>
      <c r="J99" s="4">
        <v>87</v>
      </c>
      <c r="K99" s="4">
        <v>783</v>
      </c>
      <c r="L99" s="4">
        <v>221.95</v>
      </c>
      <c r="M99" s="10">
        <f t="shared" si="3"/>
        <v>0.28346104725415067</v>
      </c>
    </row>
    <row r="100" spans="1:13" x14ac:dyDescent="0.25">
      <c r="A100" s="8" t="s">
        <v>108</v>
      </c>
      <c r="B100" s="5" t="s">
        <v>469</v>
      </c>
      <c r="C100" s="6">
        <f>YEAR(B100)</f>
        <v>2023</v>
      </c>
      <c r="D100" s="5" t="str">
        <f t="shared" si="2"/>
        <v>Jul</v>
      </c>
      <c r="E100" s="4" t="s">
        <v>213</v>
      </c>
      <c r="F100" s="4" t="s">
        <v>214</v>
      </c>
      <c r="G100" s="4" t="s">
        <v>224</v>
      </c>
      <c r="H100" s="4" t="s">
        <v>312</v>
      </c>
      <c r="I100" s="4">
        <v>6</v>
      </c>
      <c r="J100" s="4">
        <v>474</v>
      </c>
      <c r="K100" s="4">
        <v>2844</v>
      </c>
      <c r="L100" s="4">
        <v>513.91</v>
      </c>
      <c r="M100" s="10">
        <f t="shared" si="3"/>
        <v>0.18069971870604781</v>
      </c>
    </row>
    <row r="101" spans="1:13" x14ac:dyDescent="0.25">
      <c r="A101" s="8" t="s">
        <v>109</v>
      </c>
      <c r="B101" s="5" t="s">
        <v>470</v>
      </c>
      <c r="C101" s="6">
        <f>YEAR(B101)</f>
        <v>2022</v>
      </c>
      <c r="D101" s="5" t="str">
        <f t="shared" si="2"/>
        <v>Nov</v>
      </c>
      <c r="E101" s="4" t="s">
        <v>211</v>
      </c>
      <c r="F101" s="4" t="s">
        <v>214</v>
      </c>
      <c r="G101" s="4" t="s">
        <v>220</v>
      </c>
      <c r="H101" s="4" t="s">
        <v>313</v>
      </c>
      <c r="I101" s="4">
        <v>6</v>
      </c>
      <c r="J101" s="4">
        <v>293</v>
      </c>
      <c r="K101" s="4">
        <v>1758</v>
      </c>
      <c r="L101" s="4">
        <v>510.18</v>
      </c>
      <c r="M101" s="10">
        <f t="shared" si="3"/>
        <v>0.29020477815699658</v>
      </c>
    </row>
    <row r="102" spans="1:13" x14ac:dyDescent="0.25">
      <c r="A102" s="8" t="s">
        <v>110</v>
      </c>
      <c r="B102" s="5" t="s">
        <v>471</v>
      </c>
      <c r="C102" s="6">
        <f>YEAR(B102)</f>
        <v>2022</v>
      </c>
      <c r="D102" s="5" t="str">
        <f t="shared" si="2"/>
        <v>Mar</v>
      </c>
      <c r="E102" s="4" t="s">
        <v>211</v>
      </c>
      <c r="F102" s="4" t="s">
        <v>215</v>
      </c>
      <c r="G102" s="4" t="s">
        <v>225</v>
      </c>
      <c r="H102" s="4" t="s">
        <v>314</v>
      </c>
      <c r="I102" s="4">
        <v>4</v>
      </c>
      <c r="J102" s="4">
        <v>407</v>
      </c>
      <c r="K102" s="4">
        <v>1628</v>
      </c>
      <c r="L102" s="4">
        <v>430.78</v>
      </c>
      <c r="M102" s="10">
        <f t="shared" si="3"/>
        <v>0.26460687960687956</v>
      </c>
    </row>
    <row r="103" spans="1:13" x14ac:dyDescent="0.25">
      <c r="A103" s="8" t="s">
        <v>111</v>
      </c>
      <c r="B103" s="5" t="s">
        <v>472</v>
      </c>
      <c r="C103" s="6">
        <f>YEAR(B103)</f>
        <v>2022</v>
      </c>
      <c r="D103" s="5" t="str">
        <f t="shared" si="2"/>
        <v>Mar</v>
      </c>
      <c r="E103" s="4" t="s">
        <v>211</v>
      </c>
      <c r="F103" s="4" t="s">
        <v>214</v>
      </c>
      <c r="G103" s="4" t="s">
        <v>224</v>
      </c>
      <c r="H103" s="4" t="s">
        <v>315</v>
      </c>
      <c r="I103" s="4">
        <v>6</v>
      </c>
      <c r="J103" s="4">
        <v>455</v>
      </c>
      <c r="K103" s="4">
        <v>2730</v>
      </c>
      <c r="L103" s="4">
        <v>539.9</v>
      </c>
      <c r="M103" s="10">
        <f t="shared" si="3"/>
        <v>0.19776556776556775</v>
      </c>
    </row>
    <row r="104" spans="1:13" x14ac:dyDescent="0.25">
      <c r="A104" s="8" t="s">
        <v>112</v>
      </c>
      <c r="B104" s="5" t="s">
        <v>473</v>
      </c>
      <c r="C104" s="6">
        <f>YEAR(B104)</f>
        <v>2023</v>
      </c>
      <c r="D104" s="5" t="str">
        <f t="shared" si="2"/>
        <v>Feb</v>
      </c>
      <c r="E104" s="4" t="s">
        <v>210</v>
      </c>
      <c r="F104" s="4" t="s">
        <v>214</v>
      </c>
      <c r="G104" s="4" t="s">
        <v>217</v>
      </c>
      <c r="H104" s="4" t="s">
        <v>316</v>
      </c>
      <c r="I104" s="4">
        <v>1</v>
      </c>
      <c r="J104" s="4">
        <v>424</v>
      </c>
      <c r="K104" s="4">
        <v>424</v>
      </c>
      <c r="L104" s="4">
        <v>113.82</v>
      </c>
      <c r="M104" s="10">
        <f t="shared" si="3"/>
        <v>0.26844339622641505</v>
      </c>
    </row>
    <row r="105" spans="1:13" x14ac:dyDescent="0.25">
      <c r="A105" s="8" t="s">
        <v>113</v>
      </c>
      <c r="B105" s="5" t="s">
        <v>474</v>
      </c>
      <c r="C105" s="6">
        <f>YEAR(B105)</f>
        <v>2022</v>
      </c>
      <c r="D105" s="5" t="str">
        <f t="shared" si="2"/>
        <v>May</v>
      </c>
      <c r="E105" s="4" t="s">
        <v>212</v>
      </c>
      <c r="F105" s="4" t="s">
        <v>216</v>
      </c>
      <c r="G105" s="4" t="s">
        <v>219</v>
      </c>
      <c r="H105" s="4" t="s">
        <v>317</v>
      </c>
      <c r="I105" s="4">
        <v>5</v>
      </c>
      <c r="J105" s="4">
        <v>171</v>
      </c>
      <c r="K105" s="4">
        <v>855</v>
      </c>
      <c r="L105" s="4">
        <v>104.14</v>
      </c>
      <c r="M105" s="10">
        <f t="shared" si="3"/>
        <v>0.12180116959064327</v>
      </c>
    </row>
    <row r="106" spans="1:13" x14ac:dyDescent="0.25">
      <c r="A106" s="8" t="s">
        <v>114</v>
      </c>
      <c r="B106" s="5" t="s">
        <v>475</v>
      </c>
      <c r="C106" s="6">
        <f>YEAR(B106)</f>
        <v>2022</v>
      </c>
      <c r="D106" s="5" t="str">
        <f t="shared" si="2"/>
        <v>Jun</v>
      </c>
      <c r="E106" s="4" t="s">
        <v>210</v>
      </c>
      <c r="F106" s="4" t="s">
        <v>214</v>
      </c>
      <c r="G106" s="4" t="s">
        <v>220</v>
      </c>
      <c r="H106" s="4" t="s">
        <v>318</v>
      </c>
      <c r="I106" s="4">
        <v>10</v>
      </c>
      <c r="J106" s="4">
        <v>37</v>
      </c>
      <c r="K106" s="4">
        <v>370</v>
      </c>
      <c r="L106" s="4">
        <v>50.08</v>
      </c>
      <c r="M106" s="10">
        <f t="shared" si="3"/>
        <v>0.13535135135135135</v>
      </c>
    </row>
    <row r="107" spans="1:13" x14ac:dyDescent="0.25">
      <c r="A107" s="8" t="s">
        <v>115</v>
      </c>
      <c r="B107" s="5" t="s">
        <v>476</v>
      </c>
      <c r="C107" s="6">
        <f>YEAR(B107)</f>
        <v>2023</v>
      </c>
      <c r="D107" s="5" t="str">
        <f t="shared" si="2"/>
        <v>Apr</v>
      </c>
      <c r="E107" s="4" t="s">
        <v>210</v>
      </c>
      <c r="F107" s="4" t="s">
        <v>216</v>
      </c>
      <c r="G107" s="4" t="s">
        <v>223</v>
      </c>
      <c r="H107" s="4" t="s">
        <v>319</v>
      </c>
      <c r="I107" s="4">
        <v>9</v>
      </c>
      <c r="J107" s="4">
        <v>143</v>
      </c>
      <c r="K107" s="4">
        <v>1287</v>
      </c>
      <c r="L107" s="4">
        <v>341.34</v>
      </c>
      <c r="M107" s="10">
        <f t="shared" si="3"/>
        <v>0.2652214452214452</v>
      </c>
    </row>
    <row r="108" spans="1:13" x14ac:dyDescent="0.25">
      <c r="A108" s="8" t="s">
        <v>116</v>
      </c>
      <c r="B108" s="5" t="s">
        <v>477</v>
      </c>
      <c r="C108" s="6">
        <f>YEAR(B108)</f>
        <v>2023</v>
      </c>
      <c r="D108" s="5" t="str">
        <f t="shared" si="2"/>
        <v>Feb</v>
      </c>
      <c r="E108" s="4" t="s">
        <v>210</v>
      </c>
      <c r="F108" s="4" t="s">
        <v>216</v>
      </c>
      <c r="G108" s="4" t="s">
        <v>221</v>
      </c>
      <c r="H108" s="4" t="s">
        <v>231</v>
      </c>
      <c r="I108" s="4">
        <v>9</v>
      </c>
      <c r="J108" s="4">
        <v>216</v>
      </c>
      <c r="K108" s="4">
        <v>1944</v>
      </c>
      <c r="L108" s="4">
        <v>413.36</v>
      </c>
      <c r="M108" s="10">
        <f t="shared" si="3"/>
        <v>0.21263374485596709</v>
      </c>
    </row>
    <row r="109" spans="1:13" x14ac:dyDescent="0.25">
      <c r="A109" s="8" t="s">
        <v>117</v>
      </c>
      <c r="B109" s="5" t="s">
        <v>478</v>
      </c>
      <c r="C109" s="6">
        <f>YEAR(B109)</f>
        <v>2023</v>
      </c>
      <c r="D109" s="5" t="str">
        <f t="shared" si="2"/>
        <v>Sep</v>
      </c>
      <c r="E109" s="4" t="s">
        <v>212</v>
      </c>
      <c r="F109" s="4" t="s">
        <v>215</v>
      </c>
      <c r="G109" s="4" t="s">
        <v>222</v>
      </c>
      <c r="H109" s="4" t="s">
        <v>320</v>
      </c>
      <c r="I109" s="4">
        <v>2</v>
      </c>
      <c r="J109" s="4">
        <v>194</v>
      </c>
      <c r="K109" s="4">
        <v>388</v>
      </c>
      <c r="L109" s="4">
        <v>70.37</v>
      </c>
      <c r="M109" s="10">
        <f t="shared" si="3"/>
        <v>0.1813659793814433</v>
      </c>
    </row>
    <row r="110" spans="1:13" x14ac:dyDescent="0.25">
      <c r="A110" s="8" t="s">
        <v>118</v>
      </c>
      <c r="B110" s="5" t="s">
        <v>479</v>
      </c>
      <c r="C110" s="6">
        <f>YEAR(B110)</f>
        <v>2023</v>
      </c>
      <c r="D110" s="5" t="str">
        <f t="shared" si="2"/>
        <v>Apr</v>
      </c>
      <c r="E110" s="4" t="s">
        <v>210</v>
      </c>
      <c r="F110" s="4" t="s">
        <v>214</v>
      </c>
      <c r="G110" s="4" t="s">
        <v>220</v>
      </c>
      <c r="H110" s="4" t="s">
        <v>313</v>
      </c>
      <c r="I110" s="4">
        <v>5</v>
      </c>
      <c r="J110" s="4">
        <v>118</v>
      </c>
      <c r="K110" s="4">
        <v>590</v>
      </c>
      <c r="L110" s="4">
        <v>161.69999999999999</v>
      </c>
      <c r="M110" s="10">
        <f t="shared" si="3"/>
        <v>0.27406779661016945</v>
      </c>
    </row>
    <row r="111" spans="1:13" x14ac:dyDescent="0.25">
      <c r="A111" s="8" t="s">
        <v>119</v>
      </c>
      <c r="B111" s="5" t="s">
        <v>480</v>
      </c>
      <c r="C111" s="6">
        <f>YEAR(B111)</f>
        <v>2022</v>
      </c>
      <c r="D111" s="5" t="str">
        <f t="shared" si="2"/>
        <v>Feb</v>
      </c>
      <c r="E111" s="4" t="s">
        <v>210</v>
      </c>
      <c r="F111" s="4" t="s">
        <v>214</v>
      </c>
      <c r="G111" s="4" t="s">
        <v>217</v>
      </c>
      <c r="H111" s="4" t="s">
        <v>321</v>
      </c>
      <c r="I111" s="4">
        <v>5</v>
      </c>
      <c r="J111" s="4">
        <v>84</v>
      </c>
      <c r="K111" s="4">
        <v>420</v>
      </c>
      <c r="L111" s="4">
        <v>65.349999999999994</v>
      </c>
      <c r="M111" s="10">
        <f t="shared" si="3"/>
        <v>0.15559523809523809</v>
      </c>
    </row>
    <row r="112" spans="1:13" x14ac:dyDescent="0.25">
      <c r="A112" s="8" t="s">
        <v>120</v>
      </c>
      <c r="B112" s="5" t="s">
        <v>481</v>
      </c>
      <c r="C112" s="6">
        <f>YEAR(B112)</f>
        <v>2023</v>
      </c>
      <c r="D112" s="5" t="str">
        <f t="shared" si="2"/>
        <v>Sep</v>
      </c>
      <c r="E112" s="4" t="s">
        <v>213</v>
      </c>
      <c r="F112" s="4" t="s">
        <v>216</v>
      </c>
      <c r="G112" s="4" t="s">
        <v>221</v>
      </c>
      <c r="H112" s="4" t="s">
        <v>322</v>
      </c>
      <c r="I112" s="4">
        <v>9</v>
      </c>
      <c r="J112" s="4">
        <v>416</v>
      </c>
      <c r="K112" s="4">
        <v>3744</v>
      </c>
      <c r="L112" s="4">
        <v>693.24</v>
      </c>
      <c r="M112" s="10">
        <f t="shared" si="3"/>
        <v>0.18516025641025641</v>
      </c>
    </row>
    <row r="113" spans="1:13" x14ac:dyDescent="0.25">
      <c r="A113" s="8" t="s">
        <v>121</v>
      </c>
      <c r="B113" s="5" t="s">
        <v>482</v>
      </c>
      <c r="C113" s="6">
        <f>YEAR(B113)</f>
        <v>2023</v>
      </c>
      <c r="D113" s="5" t="str">
        <f t="shared" si="2"/>
        <v>Feb</v>
      </c>
      <c r="E113" s="4" t="s">
        <v>211</v>
      </c>
      <c r="F113" s="4" t="s">
        <v>215</v>
      </c>
      <c r="G113" s="4" t="s">
        <v>222</v>
      </c>
      <c r="H113" s="4" t="s">
        <v>295</v>
      </c>
      <c r="I113" s="4">
        <v>6</v>
      </c>
      <c r="J113" s="4">
        <v>62</v>
      </c>
      <c r="K113" s="4">
        <v>372</v>
      </c>
      <c r="L113" s="4">
        <v>51.63</v>
      </c>
      <c r="M113" s="10">
        <f t="shared" si="3"/>
        <v>0.13879032258064516</v>
      </c>
    </row>
    <row r="114" spans="1:13" x14ac:dyDescent="0.25">
      <c r="A114" s="8" t="s">
        <v>122</v>
      </c>
      <c r="B114" s="5" t="s">
        <v>483</v>
      </c>
      <c r="C114" s="6">
        <f>YEAR(B114)</f>
        <v>2022</v>
      </c>
      <c r="D114" s="5" t="str">
        <f t="shared" si="2"/>
        <v>Aug</v>
      </c>
      <c r="E114" s="4" t="s">
        <v>213</v>
      </c>
      <c r="F114" s="4" t="s">
        <v>214</v>
      </c>
      <c r="G114" s="4" t="s">
        <v>217</v>
      </c>
      <c r="H114" s="4" t="s">
        <v>256</v>
      </c>
      <c r="I114" s="4">
        <v>7</v>
      </c>
      <c r="J114" s="4">
        <v>166</v>
      </c>
      <c r="K114" s="4">
        <v>1162</v>
      </c>
      <c r="L114" s="4">
        <v>223.68</v>
      </c>
      <c r="M114" s="10">
        <f t="shared" si="3"/>
        <v>0.19249569707401032</v>
      </c>
    </row>
    <row r="115" spans="1:13" x14ac:dyDescent="0.25">
      <c r="A115" s="8" t="s">
        <v>123</v>
      </c>
      <c r="B115" s="5" t="s">
        <v>484</v>
      </c>
      <c r="C115" s="6">
        <f>YEAR(B115)</f>
        <v>2022</v>
      </c>
      <c r="D115" s="5" t="str">
        <f t="shared" si="2"/>
        <v>Jun</v>
      </c>
      <c r="E115" s="4" t="s">
        <v>210</v>
      </c>
      <c r="F115" s="4" t="s">
        <v>214</v>
      </c>
      <c r="G115" s="4" t="s">
        <v>217</v>
      </c>
      <c r="H115" s="4" t="s">
        <v>256</v>
      </c>
      <c r="I115" s="4">
        <v>3</v>
      </c>
      <c r="J115" s="4">
        <v>123</v>
      </c>
      <c r="K115" s="4">
        <v>369</v>
      </c>
      <c r="L115" s="4">
        <v>47.82</v>
      </c>
      <c r="M115" s="10">
        <f t="shared" si="3"/>
        <v>0.12959349593495936</v>
      </c>
    </row>
    <row r="116" spans="1:13" x14ac:dyDescent="0.25">
      <c r="A116" s="8" t="s">
        <v>124</v>
      </c>
      <c r="B116" s="5" t="s">
        <v>455</v>
      </c>
      <c r="C116" s="6">
        <f>YEAR(B116)</f>
        <v>2022</v>
      </c>
      <c r="D116" s="5" t="str">
        <f t="shared" si="2"/>
        <v>Jun</v>
      </c>
      <c r="E116" s="4" t="s">
        <v>212</v>
      </c>
      <c r="F116" s="4" t="s">
        <v>214</v>
      </c>
      <c r="G116" s="4" t="s">
        <v>217</v>
      </c>
      <c r="H116" s="4" t="s">
        <v>257</v>
      </c>
      <c r="I116" s="4">
        <v>4</v>
      </c>
      <c r="J116" s="4">
        <v>159</v>
      </c>
      <c r="K116" s="4">
        <v>636</v>
      </c>
      <c r="L116" s="4">
        <v>155.9</v>
      </c>
      <c r="M116" s="10">
        <f t="shared" si="3"/>
        <v>0.24512578616352201</v>
      </c>
    </row>
    <row r="117" spans="1:13" x14ac:dyDescent="0.25">
      <c r="A117" s="8" t="s">
        <v>125</v>
      </c>
      <c r="B117" s="5" t="s">
        <v>410</v>
      </c>
      <c r="C117" s="6">
        <f>YEAR(B117)</f>
        <v>2022</v>
      </c>
      <c r="D117" s="5" t="str">
        <f t="shared" si="2"/>
        <v>Mar</v>
      </c>
      <c r="E117" s="4" t="s">
        <v>213</v>
      </c>
      <c r="F117" s="4" t="s">
        <v>215</v>
      </c>
      <c r="G117" s="4" t="s">
        <v>225</v>
      </c>
      <c r="H117" s="4" t="s">
        <v>323</v>
      </c>
      <c r="I117" s="4">
        <v>4</v>
      </c>
      <c r="J117" s="4">
        <v>433</v>
      </c>
      <c r="K117" s="4">
        <v>1732</v>
      </c>
      <c r="L117" s="4">
        <v>280.52</v>
      </c>
      <c r="M117" s="10">
        <f t="shared" si="3"/>
        <v>0.16196304849884524</v>
      </c>
    </row>
    <row r="118" spans="1:13" x14ac:dyDescent="0.25">
      <c r="A118" s="8" t="s">
        <v>126</v>
      </c>
      <c r="B118" s="5" t="s">
        <v>485</v>
      </c>
      <c r="C118" s="6">
        <f>YEAR(B118)</f>
        <v>2022</v>
      </c>
      <c r="D118" s="5" t="str">
        <f t="shared" si="2"/>
        <v>Jun</v>
      </c>
      <c r="E118" s="4" t="s">
        <v>211</v>
      </c>
      <c r="F118" s="4" t="s">
        <v>215</v>
      </c>
      <c r="G118" s="4" t="s">
        <v>225</v>
      </c>
      <c r="H118" s="4" t="s">
        <v>324</v>
      </c>
      <c r="I118" s="4">
        <v>8</v>
      </c>
      <c r="J118" s="4">
        <v>241</v>
      </c>
      <c r="K118" s="4">
        <v>1928</v>
      </c>
      <c r="L118" s="4">
        <v>307.79000000000002</v>
      </c>
      <c r="M118" s="10">
        <f t="shared" si="3"/>
        <v>0.15964211618257262</v>
      </c>
    </row>
    <row r="119" spans="1:13" x14ac:dyDescent="0.25">
      <c r="A119" s="8" t="s">
        <v>127</v>
      </c>
      <c r="B119" s="5" t="s">
        <v>486</v>
      </c>
      <c r="C119" s="6">
        <f>YEAR(B119)</f>
        <v>2022</v>
      </c>
      <c r="D119" s="5" t="str">
        <f t="shared" si="2"/>
        <v>Oct</v>
      </c>
      <c r="E119" s="4" t="s">
        <v>210</v>
      </c>
      <c r="F119" s="4" t="s">
        <v>214</v>
      </c>
      <c r="G119" s="4" t="s">
        <v>220</v>
      </c>
      <c r="H119" s="4" t="s">
        <v>325</v>
      </c>
      <c r="I119" s="4">
        <v>8</v>
      </c>
      <c r="J119" s="4">
        <v>299</v>
      </c>
      <c r="K119" s="4">
        <v>2392</v>
      </c>
      <c r="L119" s="4">
        <v>397.22</v>
      </c>
      <c r="M119" s="10">
        <f t="shared" si="3"/>
        <v>0.16606187290969901</v>
      </c>
    </row>
    <row r="120" spans="1:13" x14ac:dyDescent="0.25">
      <c r="A120" s="8" t="s">
        <v>128</v>
      </c>
      <c r="B120" s="5" t="s">
        <v>487</v>
      </c>
      <c r="C120" s="6">
        <f>YEAR(B120)</f>
        <v>2022</v>
      </c>
      <c r="D120" s="5" t="str">
        <f t="shared" si="2"/>
        <v>May</v>
      </c>
      <c r="E120" s="4" t="s">
        <v>210</v>
      </c>
      <c r="F120" s="4" t="s">
        <v>214</v>
      </c>
      <c r="G120" s="4" t="s">
        <v>220</v>
      </c>
      <c r="H120" s="4" t="s">
        <v>230</v>
      </c>
      <c r="I120" s="4">
        <v>4</v>
      </c>
      <c r="J120" s="4">
        <v>482</v>
      </c>
      <c r="K120" s="4">
        <v>1928</v>
      </c>
      <c r="L120" s="4">
        <v>528.1</v>
      </c>
      <c r="M120" s="10">
        <f t="shared" si="3"/>
        <v>0.27391078838174276</v>
      </c>
    </row>
    <row r="121" spans="1:13" x14ac:dyDescent="0.25">
      <c r="A121" s="8" t="s">
        <v>129</v>
      </c>
      <c r="B121" s="5" t="s">
        <v>488</v>
      </c>
      <c r="C121" s="6">
        <f>YEAR(B121)</f>
        <v>2022</v>
      </c>
      <c r="D121" s="5" t="str">
        <f t="shared" si="2"/>
        <v>Mar</v>
      </c>
      <c r="E121" s="4" t="s">
        <v>210</v>
      </c>
      <c r="F121" s="4" t="s">
        <v>215</v>
      </c>
      <c r="G121" s="4" t="s">
        <v>225</v>
      </c>
      <c r="H121" s="4" t="s">
        <v>326</v>
      </c>
      <c r="I121" s="4">
        <v>1</v>
      </c>
      <c r="J121" s="4">
        <v>220</v>
      </c>
      <c r="K121" s="4">
        <v>220</v>
      </c>
      <c r="L121" s="4">
        <v>64.58</v>
      </c>
      <c r="M121" s="10">
        <f t="shared" si="3"/>
        <v>0.29354545454545455</v>
      </c>
    </row>
    <row r="122" spans="1:13" x14ac:dyDescent="0.25">
      <c r="A122" s="8" t="s">
        <v>130</v>
      </c>
      <c r="B122" s="5" t="s">
        <v>489</v>
      </c>
      <c r="C122" s="6">
        <f>YEAR(B122)</f>
        <v>2022</v>
      </c>
      <c r="D122" s="5" t="str">
        <f t="shared" si="2"/>
        <v>Feb</v>
      </c>
      <c r="E122" s="4" t="s">
        <v>210</v>
      </c>
      <c r="F122" s="4" t="s">
        <v>214</v>
      </c>
      <c r="G122" s="4" t="s">
        <v>217</v>
      </c>
      <c r="H122" s="4" t="s">
        <v>327</v>
      </c>
      <c r="I122" s="4">
        <v>9</v>
      </c>
      <c r="J122" s="4">
        <v>252</v>
      </c>
      <c r="K122" s="4">
        <v>2268</v>
      </c>
      <c r="L122" s="4">
        <v>347.84</v>
      </c>
      <c r="M122" s="10">
        <f t="shared" si="3"/>
        <v>0.15336860670194002</v>
      </c>
    </row>
    <row r="123" spans="1:13" x14ac:dyDescent="0.25">
      <c r="A123" s="8" t="s">
        <v>131</v>
      </c>
      <c r="B123" s="5" t="s">
        <v>490</v>
      </c>
      <c r="C123" s="6">
        <f>YEAR(B123)</f>
        <v>2023</v>
      </c>
      <c r="D123" s="5" t="str">
        <f t="shared" si="2"/>
        <v>Jan</v>
      </c>
      <c r="E123" s="4" t="s">
        <v>213</v>
      </c>
      <c r="F123" s="4" t="s">
        <v>216</v>
      </c>
      <c r="G123" s="4" t="s">
        <v>223</v>
      </c>
      <c r="H123" s="4" t="s">
        <v>328</v>
      </c>
      <c r="I123" s="4">
        <v>2</v>
      </c>
      <c r="J123" s="4">
        <v>286</v>
      </c>
      <c r="K123" s="4">
        <v>572</v>
      </c>
      <c r="L123" s="4">
        <v>154.32</v>
      </c>
      <c r="M123" s="10">
        <f t="shared" si="3"/>
        <v>0.26979020979020979</v>
      </c>
    </row>
    <row r="124" spans="1:13" x14ac:dyDescent="0.25">
      <c r="A124" s="8" t="s">
        <v>132</v>
      </c>
      <c r="B124" s="5" t="s">
        <v>491</v>
      </c>
      <c r="C124" s="6">
        <f>YEAR(B124)</f>
        <v>2022</v>
      </c>
      <c r="D124" s="5" t="str">
        <f t="shared" si="2"/>
        <v>Apr</v>
      </c>
      <c r="E124" s="4" t="s">
        <v>212</v>
      </c>
      <c r="F124" s="4" t="s">
        <v>216</v>
      </c>
      <c r="G124" s="4" t="s">
        <v>223</v>
      </c>
      <c r="H124" s="4" t="s">
        <v>329</v>
      </c>
      <c r="I124" s="4">
        <v>10</v>
      </c>
      <c r="J124" s="4">
        <v>357</v>
      </c>
      <c r="K124" s="4">
        <v>3570</v>
      </c>
      <c r="L124" s="4">
        <v>853.38</v>
      </c>
      <c r="M124" s="10">
        <f t="shared" si="3"/>
        <v>0.23904201680672268</v>
      </c>
    </row>
    <row r="125" spans="1:13" x14ac:dyDescent="0.25">
      <c r="A125" s="8" t="s">
        <v>133</v>
      </c>
      <c r="B125" s="5" t="s">
        <v>492</v>
      </c>
      <c r="C125" s="6">
        <f>YEAR(B125)</f>
        <v>2022</v>
      </c>
      <c r="D125" s="5" t="str">
        <f t="shared" si="2"/>
        <v>Dec</v>
      </c>
      <c r="E125" s="4" t="s">
        <v>213</v>
      </c>
      <c r="F125" s="4" t="s">
        <v>216</v>
      </c>
      <c r="G125" s="4" t="s">
        <v>221</v>
      </c>
      <c r="H125" s="4" t="s">
        <v>330</v>
      </c>
      <c r="I125" s="4">
        <v>9</v>
      </c>
      <c r="J125" s="4">
        <v>212</v>
      </c>
      <c r="K125" s="4">
        <v>1908</v>
      </c>
      <c r="L125" s="4">
        <v>382.59</v>
      </c>
      <c r="M125" s="10">
        <f t="shared" si="3"/>
        <v>0.20051886792452828</v>
      </c>
    </row>
    <row r="126" spans="1:13" x14ac:dyDescent="0.25">
      <c r="A126" s="8" t="s">
        <v>134</v>
      </c>
      <c r="B126" s="5" t="s">
        <v>493</v>
      </c>
      <c r="C126" s="6">
        <f>YEAR(B126)</f>
        <v>2023</v>
      </c>
      <c r="D126" s="5" t="str">
        <f t="shared" si="2"/>
        <v>Sep</v>
      </c>
      <c r="E126" s="4" t="s">
        <v>211</v>
      </c>
      <c r="F126" s="4" t="s">
        <v>216</v>
      </c>
      <c r="G126" s="4" t="s">
        <v>221</v>
      </c>
      <c r="H126" s="4" t="s">
        <v>291</v>
      </c>
      <c r="I126" s="4">
        <v>1</v>
      </c>
      <c r="J126" s="4">
        <v>361</v>
      </c>
      <c r="K126" s="4">
        <v>361</v>
      </c>
      <c r="L126" s="4">
        <v>100.96</v>
      </c>
      <c r="M126" s="10">
        <f t="shared" si="3"/>
        <v>0.27966759002770081</v>
      </c>
    </row>
    <row r="127" spans="1:13" x14ac:dyDescent="0.25">
      <c r="A127" s="8" t="s">
        <v>135</v>
      </c>
      <c r="B127" s="5" t="s">
        <v>494</v>
      </c>
      <c r="C127" s="6">
        <f>YEAR(B127)</f>
        <v>2022</v>
      </c>
      <c r="D127" s="5" t="str">
        <f t="shared" si="2"/>
        <v>Apr</v>
      </c>
      <c r="E127" s="4" t="s">
        <v>210</v>
      </c>
      <c r="F127" s="4" t="s">
        <v>214</v>
      </c>
      <c r="G127" s="4" t="s">
        <v>217</v>
      </c>
      <c r="H127" s="4" t="s">
        <v>331</v>
      </c>
      <c r="I127" s="4">
        <v>7</v>
      </c>
      <c r="J127" s="4">
        <v>299</v>
      </c>
      <c r="K127" s="4">
        <v>2093</v>
      </c>
      <c r="L127" s="4">
        <v>438.95</v>
      </c>
      <c r="M127" s="10">
        <f t="shared" si="3"/>
        <v>0.20972288580984233</v>
      </c>
    </row>
    <row r="128" spans="1:13" x14ac:dyDescent="0.25">
      <c r="A128" s="8" t="s">
        <v>136</v>
      </c>
      <c r="B128" s="5" t="s">
        <v>415</v>
      </c>
      <c r="C128" s="6">
        <f>YEAR(B128)</f>
        <v>2023</v>
      </c>
      <c r="D128" s="5" t="str">
        <f t="shared" si="2"/>
        <v>Nov</v>
      </c>
      <c r="E128" s="4" t="s">
        <v>211</v>
      </c>
      <c r="F128" s="4" t="s">
        <v>214</v>
      </c>
      <c r="G128" s="4" t="s">
        <v>224</v>
      </c>
      <c r="H128" s="4" t="s">
        <v>332</v>
      </c>
      <c r="I128" s="4">
        <v>4</v>
      </c>
      <c r="J128" s="4">
        <v>300</v>
      </c>
      <c r="K128" s="4">
        <v>1200</v>
      </c>
      <c r="L128" s="4">
        <v>161.78</v>
      </c>
      <c r="M128" s="10">
        <f t="shared" si="3"/>
        <v>0.13481666666666667</v>
      </c>
    </row>
    <row r="129" spans="1:13" x14ac:dyDescent="0.25">
      <c r="A129" s="8" t="s">
        <v>137</v>
      </c>
      <c r="B129" s="5" t="s">
        <v>495</v>
      </c>
      <c r="C129" s="6">
        <f>YEAR(B129)</f>
        <v>2022</v>
      </c>
      <c r="D129" s="5" t="str">
        <f t="shared" si="2"/>
        <v>Jul</v>
      </c>
      <c r="E129" s="4" t="s">
        <v>211</v>
      </c>
      <c r="F129" s="4" t="s">
        <v>215</v>
      </c>
      <c r="G129" s="4" t="s">
        <v>222</v>
      </c>
      <c r="H129" s="4" t="s">
        <v>333</v>
      </c>
      <c r="I129" s="4">
        <v>5</v>
      </c>
      <c r="J129" s="4">
        <v>265</v>
      </c>
      <c r="K129" s="4">
        <v>1325</v>
      </c>
      <c r="L129" s="4">
        <v>154.21</v>
      </c>
      <c r="M129" s="10">
        <f t="shared" si="3"/>
        <v>0.11638490566037736</v>
      </c>
    </row>
    <row r="130" spans="1:13" x14ac:dyDescent="0.25">
      <c r="A130" s="8" t="s">
        <v>138</v>
      </c>
      <c r="B130" s="5" t="s">
        <v>496</v>
      </c>
      <c r="C130" s="6">
        <f>YEAR(B130)</f>
        <v>2022</v>
      </c>
      <c r="D130" s="5" t="str">
        <f t="shared" si="2"/>
        <v>Dec</v>
      </c>
      <c r="E130" s="4" t="s">
        <v>212</v>
      </c>
      <c r="F130" s="4" t="s">
        <v>216</v>
      </c>
      <c r="G130" s="4" t="s">
        <v>219</v>
      </c>
      <c r="H130" s="4" t="s">
        <v>317</v>
      </c>
      <c r="I130" s="4">
        <v>8</v>
      </c>
      <c r="J130" s="4">
        <v>436</v>
      </c>
      <c r="K130" s="4">
        <v>3488</v>
      </c>
      <c r="L130" s="4">
        <v>960.89</v>
      </c>
      <c r="M130" s="10">
        <f t="shared" si="3"/>
        <v>0.27548451834862386</v>
      </c>
    </row>
    <row r="131" spans="1:13" x14ac:dyDescent="0.25">
      <c r="A131" s="8" t="s">
        <v>139</v>
      </c>
      <c r="B131" s="5" t="s">
        <v>497</v>
      </c>
      <c r="C131" s="6">
        <f>YEAR(B131)</f>
        <v>2023</v>
      </c>
      <c r="D131" s="5" t="str">
        <f t="shared" ref="D131:D194" si="4">TEXT(B131,"mmm")</f>
        <v>Oct</v>
      </c>
      <c r="E131" s="4" t="s">
        <v>211</v>
      </c>
      <c r="F131" s="4" t="s">
        <v>214</v>
      </c>
      <c r="G131" s="4" t="s">
        <v>224</v>
      </c>
      <c r="H131" s="4" t="s">
        <v>334</v>
      </c>
      <c r="I131" s="4">
        <v>10</v>
      </c>
      <c r="J131" s="4">
        <v>189</v>
      </c>
      <c r="K131" s="4">
        <v>1890</v>
      </c>
      <c r="L131" s="4">
        <v>397.05</v>
      </c>
      <c r="M131" s="10">
        <f t="shared" ref="M131:M194" si="5">IF(K131=0,0,L131/K131)</f>
        <v>0.21007936507936509</v>
      </c>
    </row>
    <row r="132" spans="1:13" x14ac:dyDescent="0.25">
      <c r="A132" s="8" t="s">
        <v>140</v>
      </c>
      <c r="B132" s="5" t="s">
        <v>498</v>
      </c>
      <c r="C132" s="6">
        <f>YEAR(B132)</f>
        <v>2023</v>
      </c>
      <c r="D132" s="5" t="str">
        <f t="shared" si="4"/>
        <v>Aug</v>
      </c>
      <c r="E132" s="4" t="s">
        <v>213</v>
      </c>
      <c r="F132" s="4" t="s">
        <v>216</v>
      </c>
      <c r="G132" s="4" t="s">
        <v>219</v>
      </c>
      <c r="H132" s="4" t="s">
        <v>252</v>
      </c>
      <c r="I132" s="4">
        <v>2</v>
      </c>
      <c r="J132" s="4">
        <v>140</v>
      </c>
      <c r="K132" s="4">
        <v>280</v>
      </c>
      <c r="L132" s="4">
        <v>66.709999999999994</v>
      </c>
      <c r="M132" s="10">
        <f t="shared" si="5"/>
        <v>0.23824999999999999</v>
      </c>
    </row>
    <row r="133" spans="1:13" x14ac:dyDescent="0.25">
      <c r="A133" s="8" t="s">
        <v>141</v>
      </c>
      <c r="B133" s="5" t="s">
        <v>499</v>
      </c>
      <c r="C133" s="6">
        <f>YEAR(B133)</f>
        <v>2023</v>
      </c>
      <c r="D133" s="5" t="str">
        <f t="shared" si="4"/>
        <v>Jul</v>
      </c>
      <c r="E133" s="4" t="s">
        <v>213</v>
      </c>
      <c r="F133" s="4" t="s">
        <v>215</v>
      </c>
      <c r="G133" s="4" t="s">
        <v>222</v>
      </c>
      <c r="H133" s="4" t="s">
        <v>335</v>
      </c>
      <c r="I133" s="4">
        <v>10</v>
      </c>
      <c r="J133" s="4">
        <v>127</v>
      </c>
      <c r="K133" s="4">
        <v>1270</v>
      </c>
      <c r="L133" s="4">
        <v>324.79000000000002</v>
      </c>
      <c r="M133" s="10">
        <f t="shared" si="5"/>
        <v>0.25574015748031498</v>
      </c>
    </row>
    <row r="134" spans="1:13" x14ac:dyDescent="0.25">
      <c r="A134" s="8" t="s">
        <v>142</v>
      </c>
      <c r="B134" s="5" t="s">
        <v>500</v>
      </c>
      <c r="C134" s="6">
        <f>YEAR(B134)</f>
        <v>2023</v>
      </c>
      <c r="D134" s="5" t="str">
        <f t="shared" si="4"/>
        <v>Mar</v>
      </c>
      <c r="E134" s="4" t="s">
        <v>210</v>
      </c>
      <c r="F134" s="4" t="s">
        <v>216</v>
      </c>
      <c r="G134" s="4" t="s">
        <v>223</v>
      </c>
      <c r="H134" s="4" t="s">
        <v>336</v>
      </c>
      <c r="I134" s="4">
        <v>4</v>
      </c>
      <c r="J134" s="4">
        <v>28</v>
      </c>
      <c r="K134" s="4">
        <v>112</v>
      </c>
      <c r="L134" s="4">
        <v>18.13</v>
      </c>
      <c r="M134" s="10">
        <f t="shared" si="5"/>
        <v>0.16187499999999999</v>
      </c>
    </row>
    <row r="135" spans="1:13" x14ac:dyDescent="0.25">
      <c r="A135" s="8" t="s">
        <v>143</v>
      </c>
      <c r="B135" s="5" t="s">
        <v>501</v>
      </c>
      <c r="C135" s="6">
        <f>YEAR(B135)</f>
        <v>2022</v>
      </c>
      <c r="D135" s="5" t="str">
        <f t="shared" si="4"/>
        <v>Dec</v>
      </c>
      <c r="E135" s="4" t="s">
        <v>211</v>
      </c>
      <c r="F135" s="4" t="s">
        <v>214</v>
      </c>
      <c r="G135" s="4" t="s">
        <v>220</v>
      </c>
      <c r="H135" s="4" t="s">
        <v>337</v>
      </c>
      <c r="I135" s="4">
        <v>6</v>
      </c>
      <c r="J135" s="4">
        <v>152</v>
      </c>
      <c r="K135" s="4">
        <v>912</v>
      </c>
      <c r="L135" s="4">
        <v>215.52</v>
      </c>
      <c r="M135" s="10">
        <f t="shared" si="5"/>
        <v>0.23631578947368423</v>
      </c>
    </row>
    <row r="136" spans="1:13" x14ac:dyDescent="0.25">
      <c r="A136" s="8" t="s">
        <v>144</v>
      </c>
      <c r="B136" s="5" t="s">
        <v>502</v>
      </c>
      <c r="C136" s="6">
        <f>YEAR(B136)</f>
        <v>2022</v>
      </c>
      <c r="D136" s="5" t="str">
        <f t="shared" si="4"/>
        <v>Sep</v>
      </c>
      <c r="E136" s="4" t="s">
        <v>211</v>
      </c>
      <c r="F136" s="4" t="s">
        <v>216</v>
      </c>
      <c r="G136" s="4" t="s">
        <v>221</v>
      </c>
      <c r="H136" s="4" t="s">
        <v>338</v>
      </c>
      <c r="I136" s="4">
        <v>5</v>
      </c>
      <c r="J136" s="4">
        <v>226</v>
      </c>
      <c r="K136" s="4">
        <v>1130</v>
      </c>
      <c r="L136" s="4">
        <v>184.86</v>
      </c>
      <c r="M136" s="10">
        <f t="shared" si="5"/>
        <v>0.16359292035398232</v>
      </c>
    </row>
    <row r="137" spans="1:13" x14ac:dyDescent="0.25">
      <c r="A137" s="8" t="s">
        <v>145</v>
      </c>
      <c r="B137" s="5" t="s">
        <v>503</v>
      </c>
      <c r="C137" s="6">
        <f>YEAR(B137)</f>
        <v>2023</v>
      </c>
      <c r="D137" s="5" t="str">
        <f t="shared" si="4"/>
        <v>Jan</v>
      </c>
      <c r="E137" s="4" t="s">
        <v>212</v>
      </c>
      <c r="F137" s="4" t="s">
        <v>216</v>
      </c>
      <c r="G137" s="4" t="s">
        <v>223</v>
      </c>
      <c r="H137" s="4" t="s">
        <v>339</v>
      </c>
      <c r="I137" s="4">
        <v>5</v>
      </c>
      <c r="J137" s="4">
        <v>362</v>
      </c>
      <c r="K137" s="4">
        <v>1810</v>
      </c>
      <c r="L137" s="4">
        <v>279</v>
      </c>
      <c r="M137" s="10">
        <f t="shared" si="5"/>
        <v>0.15414364640883979</v>
      </c>
    </row>
    <row r="138" spans="1:13" x14ac:dyDescent="0.25">
      <c r="A138" s="8" t="s">
        <v>146</v>
      </c>
      <c r="B138" s="5" t="s">
        <v>504</v>
      </c>
      <c r="C138" s="6">
        <f>YEAR(B138)</f>
        <v>2023</v>
      </c>
      <c r="D138" s="5" t="str">
        <f t="shared" si="4"/>
        <v>Nov</v>
      </c>
      <c r="E138" s="4" t="s">
        <v>213</v>
      </c>
      <c r="F138" s="4" t="s">
        <v>215</v>
      </c>
      <c r="G138" s="4" t="s">
        <v>222</v>
      </c>
      <c r="H138" s="4" t="s">
        <v>293</v>
      </c>
      <c r="I138" s="4">
        <v>8</v>
      </c>
      <c r="J138" s="4">
        <v>380</v>
      </c>
      <c r="K138" s="4">
        <v>3040</v>
      </c>
      <c r="L138" s="4">
        <v>883.44</v>
      </c>
      <c r="M138" s="10">
        <f t="shared" si="5"/>
        <v>0.29060526315789476</v>
      </c>
    </row>
    <row r="139" spans="1:13" x14ac:dyDescent="0.25">
      <c r="A139" s="8" t="s">
        <v>147</v>
      </c>
      <c r="B139" s="5" t="s">
        <v>505</v>
      </c>
      <c r="C139" s="6">
        <f>YEAR(B139)</f>
        <v>2023</v>
      </c>
      <c r="D139" s="5" t="str">
        <f t="shared" si="4"/>
        <v>Feb</v>
      </c>
      <c r="E139" s="4" t="s">
        <v>210</v>
      </c>
      <c r="F139" s="4" t="s">
        <v>216</v>
      </c>
      <c r="G139" s="4" t="s">
        <v>223</v>
      </c>
      <c r="H139" s="4" t="s">
        <v>340</v>
      </c>
      <c r="I139" s="4">
        <v>5</v>
      </c>
      <c r="J139" s="4">
        <v>139</v>
      </c>
      <c r="K139" s="4">
        <v>695</v>
      </c>
      <c r="L139" s="4">
        <v>105.86</v>
      </c>
      <c r="M139" s="10">
        <f t="shared" si="5"/>
        <v>0.15231654676258993</v>
      </c>
    </row>
    <row r="140" spans="1:13" x14ac:dyDescent="0.25">
      <c r="A140" s="8" t="s">
        <v>148</v>
      </c>
      <c r="B140" s="5" t="s">
        <v>506</v>
      </c>
      <c r="C140" s="6">
        <f>YEAR(B140)</f>
        <v>2023</v>
      </c>
      <c r="D140" s="5" t="str">
        <f t="shared" si="4"/>
        <v>Nov</v>
      </c>
      <c r="E140" s="4" t="s">
        <v>211</v>
      </c>
      <c r="F140" s="4" t="s">
        <v>215</v>
      </c>
      <c r="G140" s="4" t="s">
        <v>218</v>
      </c>
      <c r="H140" s="4" t="s">
        <v>341</v>
      </c>
      <c r="I140" s="4">
        <v>9</v>
      </c>
      <c r="J140" s="4">
        <v>482</v>
      </c>
      <c r="K140" s="4">
        <v>4338</v>
      </c>
      <c r="L140" s="4">
        <v>679.68</v>
      </c>
      <c r="M140" s="10">
        <f t="shared" si="5"/>
        <v>0.15668049792531119</v>
      </c>
    </row>
    <row r="141" spans="1:13" x14ac:dyDescent="0.25">
      <c r="A141" s="8" t="s">
        <v>149</v>
      </c>
      <c r="B141" s="5" t="s">
        <v>507</v>
      </c>
      <c r="C141" s="6">
        <f>YEAR(B141)</f>
        <v>2022</v>
      </c>
      <c r="D141" s="5" t="str">
        <f t="shared" si="4"/>
        <v>Nov</v>
      </c>
      <c r="E141" s="4" t="s">
        <v>211</v>
      </c>
      <c r="F141" s="4" t="s">
        <v>216</v>
      </c>
      <c r="G141" s="4" t="s">
        <v>223</v>
      </c>
      <c r="H141" s="4" t="s">
        <v>306</v>
      </c>
      <c r="I141" s="4">
        <v>8</v>
      </c>
      <c r="J141" s="4">
        <v>403</v>
      </c>
      <c r="K141" s="4">
        <v>3224</v>
      </c>
      <c r="L141" s="4">
        <v>763.44</v>
      </c>
      <c r="M141" s="10">
        <f t="shared" si="5"/>
        <v>0.23679900744416876</v>
      </c>
    </row>
    <row r="142" spans="1:13" x14ac:dyDescent="0.25">
      <c r="A142" s="8" t="s">
        <v>150</v>
      </c>
      <c r="B142" s="5" t="s">
        <v>508</v>
      </c>
      <c r="C142" s="6">
        <f>YEAR(B142)</f>
        <v>2022</v>
      </c>
      <c r="D142" s="5" t="str">
        <f t="shared" si="4"/>
        <v>Oct</v>
      </c>
      <c r="E142" s="4" t="s">
        <v>212</v>
      </c>
      <c r="F142" s="4" t="s">
        <v>215</v>
      </c>
      <c r="G142" s="4" t="s">
        <v>218</v>
      </c>
      <c r="H142" s="4" t="s">
        <v>342</v>
      </c>
      <c r="I142" s="4">
        <v>5</v>
      </c>
      <c r="J142" s="4">
        <v>311</v>
      </c>
      <c r="K142" s="4">
        <v>1555</v>
      </c>
      <c r="L142" s="4">
        <v>170.75</v>
      </c>
      <c r="M142" s="10">
        <f t="shared" si="5"/>
        <v>0.10980707395498392</v>
      </c>
    </row>
    <row r="143" spans="1:13" x14ac:dyDescent="0.25">
      <c r="A143" s="8" t="s">
        <v>151</v>
      </c>
      <c r="B143" s="5" t="s">
        <v>509</v>
      </c>
      <c r="C143" s="6">
        <f>YEAR(B143)</f>
        <v>2023</v>
      </c>
      <c r="D143" s="5" t="str">
        <f t="shared" si="4"/>
        <v>Feb</v>
      </c>
      <c r="E143" s="4" t="s">
        <v>211</v>
      </c>
      <c r="F143" s="4" t="s">
        <v>216</v>
      </c>
      <c r="G143" s="4" t="s">
        <v>221</v>
      </c>
      <c r="H143" s="4" t="s">
        <v>343</v>
      </c>
      <c r="I143" s="4">
        <v>1</v>
      </c>
      <c r="J143" s="4">
        <v>453</v>
      </c>
      <c r="K143" s="4">
        <v>453</v>
      </c>
      <c r="L143" s="4">
        <v>77.16</v>
      </c>
      <c r="M143" s="10">
        <f t="shared" si="5"/>
        <v>0.17033112582781457</v>
      </c>
    </row>
    <row r="144" spans="1:13" x14ac:dyDescent="0.25">
      <c r="A144" s="8" t="s">
        <v>152</v>
      </c>
      <c r="B144" s="5" t="s">
        <v>510</v>
      </c>
      <c r="C144" s="6">
        <f>YEAR(B144)</f>
        <v>2023</v>
      </c>
      <c r="D144" s="5" t="str">
        <f t="shared" si="4"/>
        <v>Feb</v>
      </c>
      <c r="E144" s="4" t="s">
        <v>211</v>
      </c>
      <c r="F144" s="4" t="s">
        <v>216</v>
      </c>
      <c r="G144" s="4" t="s">
        <v>219</v>
      </c>
      <c r="H144" s="4" t="s">
        <v>344</v>
      </c>
      <c r="I144" s="4">
        <v>10</v>
      </c>
      <c r="J144" s="4">
        <v>462</v>
      </c>
      <c r="K144" s="4">
        <v>4620</v>
      </c>
      <c r="L144" s="4">
        <v>1012.79</v>
      </c>
      <c r="M144" s="10">
        <f t="shared" si="5"/>
        <v>0.2192186147186147</v>
      </c>
    </row>
    <row r="145" spans="1:13" x14ac:dyDescent="0.25">
      <c r="A145" s="8" t="s">
        <v>153</v>
      </c>
      <c r="B145" s="5" t="s">
        <v>511</v>
      </c>
      <c r="C145" s="6">
        <f>YEAR(B145)</f>
        <v>2023</v>
      </c>
      <c r="D145" s="5" t="str">
        <f t="shared" si="4"/>
        <v>May</v>
      </c>
      <c r="E145" s="4" t="s">
        <v>212</v>
      </c>
      <c r="F145" s="4" t="s">
        <v>216</v>
      </c>
      <c r="G145" s="4" t="s">
        <v>219</v>
      </c>
      <c r="H145" s="4" t="s">
        <v>243</v>
      </c>
      <c r="I145" s="4">
        <v>6</v>
      </c>
      <c r="J145" s="4">
        <v>111</v>
      </c>
      <c r="K145" s="4">
        <v>666</v>
      </c>
      <c r="L145" s="4">
        <v>131.06</v>
      </c>
      <c r="M145" s="10">
        <f t="shared" si="5"/>
        <v>0.19678678678678679</v>
      </c>
    </row>
    <row r="146" spans="1:13" x14ac:dyDescent="0.25">
      <c r="A146" s="8" t="s">
        <v>154</v>
      </c>
      <c r="B146" s="5" t="s">
        <v>512</v>
      </c>
      <c r="C146" s="6">
        <f>YEAR(B146)</f>
        <v>2023</v>
      </c>
      <c r="D146" s="5" t="str">
        <f t="shared" si="4"/>
        <v>Feb</v>
      </c>
      <c r="E146" s="4" t="s">
        <v>213</v>
      </c>
      <c r="F146" s="4" t="s">
        <v>215</v>
      </c>
      <c r="G146" s="4" t="s">
        <v>225</v>
      </c>
      <c r="H146" s="4" t="s">
        <v>345</v>
      </c>
      <c r="I146" s="4">
        <v>8</v>
      </c>
      <c r="J146" s="4">
        <v>182</v>
      </c>
      <c r="K146" s="4">
        <v>1456</v>
      </c>
      <c r="L146" s="4">
        <v>377.06</v>
      </c>
      <c r="M146" s="10">
        <f t="shared" si="5"/>
        <v>0.25896978021978023</v>
      </c>
    </row>
    <row r="147" spans="1:13" x14ac:dyDescent="0.25">
      <c r="A147" s="8" t="s">
        <v>155</v>
      </c>
      <c r="B147" s="5" t="s">
        <v>473</v>
      </c>
      <c r="C147" s="6">
        <f>YEAR(B147)</f>
        <v>2023</v>
      </c>
      <c r="D147" s="5" t="str">
        <f t="shared" si="4"/>
        <v>Feb</v>
      </c>
      <c r="E147" s="4" t="s">
        <v>213</v>
      </c>
      <c r="F147" s="4" t="s">
        <v>215</v>
      </c>
      <c r="G147" s="4" t="s">
        <v>225</v>
      </c>
      <c r="H147" s="4" t="s">
        <v>324</v>
      </c>
      <c r="I147" s="4">
        <v>10</v>
      </c>
      <c r="J147" s="4">
        <v>117</v>
      </c>
      <c r="K147" s="4">
        <v>1170</v>
      </c>
      <c r="L147" s="4">
        <v>320.42</v>
      </c>
      <c r="M147" s="10">
        <f t="shared" si="5"/>
        <v>0.27386324786324789</v>
      </c>
    </row>
    <row r="148" spans="1:13" x14ac:dyDescent="0.25">
      <c r="A148" s="8" t="s">
        <v>156</v>
      </c>
      <c r="B148" s="5" t="s">
        <v>513</v>
      </c>
      <c r="C148" s="6">
        <f>YEAR(B148)</f>
        <v>2023</v>
      </c>
      <c r="D148" s="5" t="str">
        <f t="shared" si="4"/>
        <v>Apr</v>
      </c>
      <c r="E148" s="4" t="s">
        <v>213</v>
      </c>
      <c r="F148" s="4" t="s">
        <v>216</v>
      </c>
      <c r="G148" s="4" t="s">
        <v>219</v>
      </c>
      <c r="H148" s="4" t="s">
        <v>346</v>
      </c>
      <c r="I148" s="4">
        <v>1</v>
      </c>
      <c r="J148" s="4">
        <v>56</v>
      </c>
      <c r="K148" s="4">
        <v>56</v>
      </c>
      <c r="L148" s="4">
        <v>12.02</v>
      </c>
      <c r="M148" s="10">
        <f t="shared" si="5"/>
        <v>0.21464285714285714</v>
      </c>
    </row>
    <row r="149" spans="1:13" x14ac:dyDescent="0.25">
      <c r="A149" s="8" t="s">
        <v>157</v>
      </c>
      <c r="B149" s="5" t="s">
        <v>488</v>
      </c>
      <c r="C149" s="6">
        <f>YEAR(B149)</f>
        <v>2022</v>
      </c>
      <c r="D149" s="5" t="str">
        <f t="shared" si="4"/>
        <v>Mar</v>
      </c>
      <c r="E149" s="4" t="s">
        <v>210</v>
      </c>
      <c r="F149" s="4" t="s">
        <v>214</v>
      </c>
      <c r="G149" s="4" t="s">
        <v>224</v>
      </c>
      <c r="H149" s="4" t="s">
        <v>347</v>
      </c>
      <c r="I149" s="4">
        <v>9</v>
      </c>
      <c r="J149" s="4">
        <v>132</v>
      </c>
      <c r="K149" s="4">
        <v>1188</v>
      </c>
      <c r="L149" s="4">
        <v>208.65</v>
      </c>
      <c r="M149" s="10">
        <f t="shared" si="5"/>
        <v>0.17563131313131314</v>
      </c>
    </row>
    <row r="150" spans="1:13" x14ac:dyDescent="0.25">
      <c r="A150" s="8" t="s">
        <v>158</v>
      </c>
      <c r="B150" s="5" t="s">
        <v>514</v>
      </c>
      <c r="C150" s="6">
        <f>YEAR(B150)</f>
        <v>2022</v>
      </c>
      <c r="D150" s="5" t="str">
        <f t="shared" si="4"/>
        <v>Jul</v>
      </c>
      <c r="E150" s="4" t="s">
        <v>213</v>
      </c>
      <c r="F150" s="4" t="s">
        <v>215</v>
      </c>
      <c r="G150" s="4" t="s">
        <v>222</v>
      </c>
      <c r="H150" s="4" t="s">
        <v>348</v>
      </c>
      <c r="I150" s="4">
        <v>4</v>
      </c>
      <c r="J150" s="4">
        <v>26</v>
      </c>
      <c r="K150" s="4">
        <v>104</v>
      </c>
      <c r="L150" s="4">
        <v>22.48</v>
      </c>
      <c r="M150" s="10">
        <f t="shared" si="5"/>
        <v>0.21615384615384617</v>
      </c>
    </row>
    <row r="151" spans="1:13" x14ac:dyDescent="0.25">
      <c r="A151" s="8" t="s">
        <v>159</v>
      </c>
      <c r="B151" s="5" t="s">
        <v>515</v>
      </c>
      <c r="C151" s="6">
        <f>YEAR(B151)</f>
        <v>2023</v>
      </c>
      <c r="D151" s="5" t="str">
        <f t="shared" si="4"/>
        <v>Sep</v>
      </c>
      <c r="E151" s="4" t="s">
        <v>213</v>
      </c>
      <c r="F151" s="4" t="s">
        <v>214</v>
      </c>
      <c r="G151" s="4" t="s">
        <v>224</v>
      </c>
      <c r="H151" s="4" t="s">
        <v>349</v>
      </c>
      <c r="I151" s="4">
        <v>1</v>
      </c>
      <c r="J151" s="4">
        <v>482</v>
      </c>
      <c r="K151" s="4">
        <v>482</v>
      </c>
      <c r="L151" s="4">
        <v>112.9</v>
      </c>
      <c r="M151" s="10">
        <f t="shared" si="5"/>
        <v>0.23423236514522822</v>
      </c>
    </row>
    <row r="152" spans="1:13" x14ac:dyDescent="0.25">
      <c r="A152" s="8" t="s">
        <v>160</v>
      </c>
      <c r="B152" s="5" t="s">
        <v>516</v>
      </c>
      <c r="C152" s="6">
        <f>YEAR(B152)</f>
        <v>2023</v>
      </c>
      <c r="D152" s="5" t="str">
        <f t="shared" si="4"/>
        <v>Apr</v>
      </c>
      <c r="E152" s="4" t="s">
        <v>213</v>
      </c>
      <c r="F152" s="4" t="s">
        <v>214</v>
      </c>
      <c r="G152" s="4" t="s">
        <v>217</v>
      </c>
      <c r="H152" s="4" t="s">
        <v>280</v>
      </c>
      <c r="I152" s="4">
        <v>8</v>
      </c>
      <c r="J152" s="4">
        <v>335</v>
      </c>
      <c r="K152" s="4">
        <v>2680</v>
      </c>
      <c r="L152" s="4">
        <v>632.45000000000005</v>
      </c>
      <c r="M152" s="10">
        <f t="shared" si="5"/>
        <v>0.23598880597014926</v>
      </c>
    </row>
    <row r="153" spans="1:13" x14ac:dyDescent="0.25">
      <c r="A153" s="8" t="s">
        <v>161</v>
      </c>
      <c r="B153" s="5" t="s">
        <v>517</v>
      </c>
      <c r="C153" s="6">
        <f>YEAR(B153)</f>
        <v>2022</v>
      </c>
      <c r="D153" s="5" t="str">
        <f t="shared" si="4"/>
        <v>Mar</v>
      </c>
      <c r="E153" s="4" t="s">
        <v>213</v>
      </c>
      <c r="F153" s="4" t="s">
        <v>214</v>
      </c>
      <c r="G153" s="4" t="s">
        <v>217</v>
      </c>
      <c r="H153" s="4" t="s">
        <v>350</v>
      </c>
      <c r="I153" s="4">
        <v>10</v>
      </c>
      <c r="J153" s="4">
        <v>141</v>
      </c>
      <c r="K153" s="4">
        <v>1410</v>
      </c>
      <c r="L153" s="4">
        <v>169.44</v>
      </c>
      <c r="M153" s="10">
        <f t="shared" si="5"/>
        <v>0.12017021276595745</v>
      </c>
    </row>
    <row r="154" spans="1:13" x14ac:dyDescent="0.25">
      <c r="A154" s="8" t="s">
        <v>162</v>
      </c>
      <c r="B154" s="5" t="s">
        <v>518</v>
      </c>
      <c r="C154" s="6">
        <f>YEAR(B154)</f>
        <v>2022</v>
      </c>
      <c r="D154" s="5" t="str">
        <f t="shared" si="4"/>
        <v>Sep</v>
      </c>
      <c r="E154" s="4" t="s">
        <v>211</v>
      </c>
      <c r="F154" s="4" t="s">
        <v>216</v>
      </c>
      <c r="G154" s="4" t="s">
        <v>221</v>
      </c>
      <c r="H154" s="4" t="s">
        <v>351</v>
      </c>
      <c r="I154" s="4">
        <v>4</v>
      </c>
      <c r="J154" s="4">
        <v>322</v>
      </c>
      <c r="K154" s="4">
        <v>1288</v>
      </c>
      <c r="L154" s="4">
        <v>312.41000000000003</v>
      </c>
      <c r="M154" s="10">
        <f t="shared" si="5"/>
        <v>0.24255434782608698</v>
      </c>
    </row>
    <row r="155" spans="1:13" x14ac:dyDescent="0.25">
      <c r="A155" s="8" t="s">
        <v>163</v>
      </c>
      <c r="B155" s="5" t="s">
        <v>477</v>
      </c>
      <c r="C155" s="6">
        <f>YEAR(B155)</f>
        <v>2023</v>
      </c>
      <c r="D155" s="5" t="str">
        <f t="shared" si="4"/>
        <v>Feb</v>
      </c>
      <c r="E155" s="4" t="s">
        <v>211</v>
      </c>
      <c r="F155" s="4" t="s">
        <v>215</v>
      </c>
      <c r="G155" s="4" t="s">
        <v>222</v>
      </c>
      <c r="H155" s="4" t="s">
        <v>309</v>
      </c>
      <c r="I155" s="4">
        <v>6</v>
      </c>
      <c r="J155" s="4">
        <v>443</v>
      </c>
      <c r="K155" s="4">
        <v>2658</v>
      </c>
      <c r="L155" s="4">
        <v>326.14</v>
      </c>
      <c r="M155" s="10">
        <f t="shared" si="5"/>
        <v>0.12270127915726109</v>
      </c>
    </row>
    <row r="156" spans="1:13" x14ac:dyDescent="0.25">
      <c r="A156" s="8" t="s">
        <v>164</v>
      </c>
      <c r="B156" s="5" t="s">
        <v>519</v>
      </c>
      <c r="C156" s="6">
        <f>YEAR(B156)</f>
        <v>2022</v>
      </c>
      <c r="D156" s="5" t="str">
        <f t="shared" si="4"/>
        <v>Nov</v>
      </c>
      <c r="E156" s="4" t="s">
        <v>211</v>
      </c>
      <c r="F156" s="4" t="s">
        <v>214</v>
      </c>
      <c r="G156" s="4" t="s">
        <v>217</v>
      </c>
      <c r="H156" s="4" t="s">
        <v>352</v>
      </c>
      <c r="I156" s="4">
        <v>2</v>
      </c>
      <c r="J156" s="4">
        <v>112</v>
      </c>
      <c r="K156" s="4">
        <v>224</v>
      </c>
      <c r="L156" s="4">
        <v>63.02</v>
      </c>
      <c r="M156" s="10">
        <f t="shared" si="5"/>
        <v>0.28133928571428574</v>
      </c>
    </row>
    <row r="157" spans="1:13" x14ac:dyDescent="0.25">
      <c r="A157" s="8" t="s">
        <v>165</v>
      </c>
      <c r="B157" s="5" t="s">
        <v>502</v>
      </c>
      <c r="C157" s="6">
        <f>YEAR(B157)</f>
        <v>2022</v>
      </c>
      <c r="D157" s="5" t="str">
        <f t="shared" si="4"/>
        <v>Sep</v>
      </c>
      <c r="E157" s="4" t="s">
        <v>211</v>
      </c>
      <c r="F157" s="4" t="s">
        <v>214</v>
      </c>
      <c r="G157" s="4" t="s">
        <v>224</v>
      </c>
      <c r="H157" s="4" t="s">
        <v>353</v>
      </c>
      <c r="I157" s="4">
        <v>7</v>
      </c>
      <c r="J157" s="4">
        <v>53</v>
      </c>
      <c r="K157" s="4">
        <v>371</v>
      </c>
      <c r="L157" s="4">
        <v>45.73</v>
      </c>
      <c r="M157" s="10">
        <f t="shared" si="5"/>
        <v>0.12326145552560647</v>
      </c>
    </row>
    <row r="158" spans="1:13" x14ac:dyDescent="0.25">
      <c r="A158" s="8" t="s">
        <v>166</v>
      </c>
      <c r="B158" s="5" t="s">
        <v>520</v>
      </c>
      <c r="C158" s="6">
        <f>YEAR(B158)</f>
        <v>2023</v>
      </c>
      <c r="D158" s="5" t="str">
        <f t="shared" si="4"/>
        <v>Feb</v>
      </c>
      <c r="E158" s="4" t="s">
        <v>211</v>
      </c>
      <c r="F158" s="4" t="s">
        <v>215</v>
      </c>
      <c r="G158" s="4" t="s">
        <v>218</v>
      </c>
      <c r="H158" s="4" t="s">
        <v>354</v>
      </c>
      <c r="I158" s="4">
        <v>2</v>
      </c>
      <c r="J158" s="4">
        <v>50</v>
      </c>
      <c r="K158" s="4">
        <v>100</v>
      </c>
      <c r="L158" s="4">
        <v>23.06</v>
      </c>
      <c r="M158" s="10">
        <f t="shared" si="5"/>
        <v>0.2306</v>
      </c>
    </row>
    <row r="159" spans="1:13" x14ac:dyDescent="0.25">
      <c r="A159" s="8" t="s">
        <v>167</v>
      </c>
      <c r="B159" s="5" t="s">
        <v>439</v>
      </c>
      <c r="C159" s="6">
        <f>YEAR(B159)</f>
        <v>2022</v>
      </c>
      <c r="D159" s="5" t="str">
        <f t="shared" si="4"/>
        <v>May</v>
      </c>
      <c r="E159" s="4" t="s">
        <v>212</v>
      </c>
      <c r="F159" s="4" t="s">
        <v>216</v>
      </c>
      <c r="G159" s="4" t="s">
        <v>221</v>
      </c>
      <c r="H159" s="4" t="s">
        <v>300</v>
      </c>
      <c r="I159" s="4">
        <v>3</v>
      </c>
      <c r="J159" s="4">
        <v>45</v>
      </c>
      <c r="K159" s="4">
        <v>135</v>
      </c>
      <c r="L159" s="4">
        <v>24.24</v>
      </c>
      <c r="M159" s="10">
        <f t="shared" si="5"/>
        <v>0.17955555555555555</v>
      </c>
    </row>
    <row r="160" spans="1:13" x14ac:dyDescent="0.25">
      <c r="A160" s="8" t="s">
        <v>168</v>
      </c>
      <c r="B160" s="5" t="s">
        <v>521</v>
      </c>
      <c r="C160" s="6">
        <f>YEAR(B160)</f>
        <v>2022</v>
      </c>
      <c r="D160" s="5" t="str">
        <f t="shared" si="4"/>
        <v>Aug</v>
      </c>
      <c r="E160" s="4" t="s">
        <v>213</v>
      </c>
      <c r="F160" s="4" t="s">
        <v>216</v>
      </c>
      <c r="G160" s="4" t="s">
        <v>221</v>
      </c>
      <c r="H160" s="4" t="s">
        <v>355</v>
      </c>
      <c r="I160" s="4">
        <v>9</v>
      </c>
      <c r="J160" s="4">
        <v>257</v>
      </c>
      <c r="K160" s="4">
        <v>2313</v>
      </c>
      <c r="L160" s="4">
        <v>330.39</v>
      </c>
      <c r="M160" s="10">
        <f t="shared" si="5"/>
        <v>0.14284046692607003</v>
      </c>
    </row>
    <row r="161" spans="1:13" x14ac:dyDescent="0.25">
      <c r="A161" s="8" t="s">
        <v>169</v>
      </c>
      <c r="B161" s="5" t="s">
        <v>522</v>
      </c>
      <c r="C161" s="6">
        <f>YEAR(B161)</f>
        <v>2022</v>
      </c>
      <c r="D161" s="5" t="str">
        <f t="shared" si="4"/>
        <v>Nov</v>
      </c>
      <c r="E161" s="4" t="s">
        <v>210</v>
      </c>
      <c r="F161" s="4" t="s">
        <v>214</v>
      </c>
      <c r="G161" s="4" t="s">
        <v>224</v>
      </c>
      <c r="H161" s="4" t="s">
        <v>353</v>
      </c>
      <c r="I161" s="4">
        <v>2</v>
      </c>
      <c r="J161" s="4">
        <v>210</v>
      </c>
      <c r="K161" s="4">
        <v>420</v>
      </c>
      <c r="L161" s="4">
        <v>65.95</v>
      </c>
      <c r="M161" s="10">
        <f t="shared" si="5"/>
        <v>0.15702380952380954</v>
      </c>
    </row>
    <row r="162" spans="1:13" x14ac:dyDescent="0.25">
      <c r="A162" s="8" t="s">
        <v>170</v>
      </c>
      <c r="B162" s="5" t="s">
        <v>523</v>
      </c>
      <c r="C162" s="6">
        <f>YEAR(B162)</f>
        <v>2022</v>
      </c>
      <c r="D162" s="5" t="str">
        <f t="shared" si="4"/>
        <v>Jun</v>
      </c>
      <c r="E162" s="4" t="s">
        <v>211</v>
      </c>
      <c r="F162" s="4" t="s">
        <v>215</v>
      </c>
      <c r="G162" s="4" t="s">
        <v>225</v>
      </c>
      <c r="H162" s="4" t="s">
        <v>356</v>
      </c>
      <c r="I162" s="4">
        <v>2</v>
      </c>
      <c r="J162" s="4">
        <v>451</v>
      </c>
      <c r="K162" s="4">
        <v>902</v>
      </c>
      <c r="L162" s="4">
        <v>134.32</v>
      </c>
      <c r="M162" s="10">
        <f t="shared" si="5"/>
        <v>0.14891352549889134</v>
      </c>
    </row>
    <row r="163" spans="1:13" x14ac:dyDescent="0.25">
      <c r="A163" s="8" t="s">
        <v>171</v>
      </c>
      <c r="B163" s="5" t="s">
        <v>524</v>
      </c>
      <c r="C163" s="6">
        <f>YEAR(B163)</f>
        <v>2022</v>
      </c>
      <c r="D163" s="5" t="str">
        <f t="shared" si="4"/>
        <v>Dec</v>
      </c>
      <c r="E163" s="4" t="s">
        <v>210</v>
      </c>
      <c r="F163" s="4" t="s">
        <v>215</v>
      </c>
      <c r="G163" s="4" t="s">
        <v>225</v>
      </c>
      <c r="H163" s="4" t="s">
        <v>357</v>
      </c>
      <c r="I163" s="4">
        <v>3</v>
      </c>
      <c r="J163" s="4">
        <v>80</v>
      </c>
      <c r="K163" s="4">
        <v>240</v>
      </c>
      <c r="L163" s="4">
        <v>70.209999999999994</v>
      </c>
      <c r="M163" s="10">
        <f t="shared" si="5"/>
        <v>0.29254166666666664</v>
      </c>
    </row>
    <row r="164" spans="1:13" x14ac:dyDescent="0.25">
      <c r="A164" s="8" t="s">
        <v>172</v>
      </c>
      <c r="B164" s="5" t="s">
        <v>525</v>
      </c>
      <c r="C164" s="6">
        <f>YEAR(B164)</f>
        <v>2022</v>
      </c>
      <c r="D164" s="5" t="str">
        <f t="shared" si="4"/>
        <v>Aug</v>
      </c>
      <c r="E164" s="4" t="s">
        <v>213</v>
      </c>
      <c r="F164" s="4" t="s">
        <v>215</v>
      </c>
      <c r="G164" s="4" t="s">
        <v>218</v>
      </c>
      <c r="H164" s="4" t="s">
        <v>227</v>
      </c>
      <c r="I164" s="4">
        <v>9</v>
      </c>
      <c r="J164" s="4">
        <v>351</v>
      </c>
      <c r="K164" s="4">
        <v>3159</v>
      </c>
      <c r="L164" s="4">
        <v>378.51</v>
      </c>
      <c r="M164" s="10">
        <f t="shared" si="5"/>
        <v>0.11981956315289648</v>
      </c>
    </row>
    <row r="165" spans="1:13" x14ac:dyDescent="0.25">
      <c r="A165" s="8" t="s">
        <v>173</v>
      </c>
      <c r="B165" s="5" t="s">
        <v>509</v>
      </c>
      <c r="C165" s="6">
        <f>YEAR(B165)</f>
        <v>2023</v>
      </c>
      <c r="D165" s="5" t="str">
        <f t="shared" si="4"/>
        <v>Feb</v>
      </c>
      <c r="E165" s="4" t="s">
        <v>213</v>
      </c>
      <c r="F165" s="4" t="s">
        <v>215</v>
      </c>
      <c r="G165" s="4" t="s">
        <v>218</v>
      </c>
      <c r="H165" s="4" t="s">
        <v>358</v>
      </c>
      <c r="I165" s="4">
        <v>8</v>
      </c>
      <c r="J165" s="4">
        <v>406</v>
      </c>
      <c r="K165" s="4">
        <v>3248</v>
      </c>
      <c r="L165" s="4">
        <v>653.07000000000005</v>
      </c>
      <c r="M165" s="10">
        <f t="shared" si="5"/>
        <v>0.20106834975369459</v>
      </c>
    </row>
    <row r="166" spans="1:13" x14ac:dyDescent="0.25">
      <c r="A166" s="8" t="s">
        <v>174</v>
      </c>
      <c r="B166" s="5" t="s">
        <v>526</v>
      </c>
      <c r="C166" s="6">
        <f>YEAR(B166)</f>
        <v>2022</v>
      </c>
      <c r="D166" s="5" t="str">
        <f t="shared" si="4"/>
        <v>May</v>
      </c>
      <c r="E166" s="4" t="s">
        <v>210</v>
      </c>
      <c r="F166" s="4" t="s">
        <v>214</v>
      </c>
      <c r="G166" s="4" t="s">
        <v>224</v>
      </c>
      <c r="H166" s="4" t="s">
        <v>311</v>
      </c>
      <c r="I166" s="4">
        <v>2</v>
      </c>
      <c r="J166" s="4">
        <v>397</v>
      </c>
      <c r="K166" s="4">
        <v>794</v>
      </c>
      <c r="L166" s="4">
        <v>220.51</v>
      </c>
      <c r="M166" s="10">
        <f t="shared" si="5"/>
        <v>0.27772040302267004</v>
      </c>
    </row>
    <row r="167" spans="1:13" x14ac:dyDescent="0.25">
      <c r="A167" s="8" t="s">
        <v>175</v>
      </c>
      <c r="B167" s="5" t="s">
        <v>460</v>
      </c>
      <c r="C167" s="6">
        <f>YEAR(B167)</f>
        <v>2023</v>
      </c>
      <c r="D167" s="5" t="str">
        <f t="shared" si="4"/>
        <v>Aug</v>
      </c>
      <c r="E167" s="4" t="s">
        <v>213</v>
      </c>
      <c r="F167" s="4" t="s">
        <v>214</v>
      </c>
      <c r="G167" s="4" t="s">
        <v>224</v>
      </c>
      <c r="H167" s="4" t="s">
        <v>359</v>
      </c>
      <c r="I167" s="4">
        <v>4</v>
      </c>
      <c r="J167" s="4">
        <v>336</v>
      </c>
      <c r="K167" s="4">
        <v>1344</v>
      </c>
      <c r="L167" s="4">
        <v>393.15</v>
      </c>
      <c r="M167" s="10">
        <f t="shared" si="5"/>
        <v>0.29252232142857143</v>
      </c>
    </row>
    <row r="168" spans="1:13" x14ac:dyDescent="0.25">
      <c r="A168" s="8" t="s">
        <v>176</v>
      </c>
      <c r="B168" s="5" t="s">
        <v>527</v>
      </c>
      <c r="C168" s="6">
        <f>YEAR(B168)</f>
        <v>2022</v>
      </c>
      <c r="D168" s="5" t="str">
        <f t="shared" si="4"/>
        <v>Oct</v>
      </c>
      <c r="E168" s="4" t="s">
        <v>210</v>
      </c>
      <c r="F168" s="4" t="s">
        <v>216</v>
      </c>
      <c r="G168" s="4" t="s">
        <v>221</v>
      </c>
      <c r="H168" s="4" t="s">
        <v>251</v>
      </c>
      <c r="I168" s="4">
        <v>2</v>
      </c>
      <c r="J168" s="4">
        <v>423</v>
      </c>
      <c r="K168" s="4">
        <v>846</v>
      </c>
      <c r="L168" s="4">
        <v>98.18</v>
      </c>
      <c r="M168" s="10">
        <f t="shared" si="5"/>
        <v>0.11605200945626479</v>
      </c>
    </row>
    <row r="169" spans="1:13" x14ac:dyDescent="0.25">
      <c r="A169" s="8" t="s">
        <v>177</v>
      </c>
      <c r="B169" s="5" t="s">
        <v>528</v>
      </c>
      <c r="C169" s="6">
        <f>YEAR(B169)</f>
        <v>2022</v>
      </c>
      <c r="D169" s="5" t="str">
        <f t="shared" si="4"/>
        <v>Dec</v>
      </c>
      <c r="E169" s="4" t="s">
        <v>213</v>
      </c>
      <c r="F169" s="4" t="s">
        <v>214</v>
      </c>
      <c r="G169" s="4" t="s">
        <v>220</v>
      </c>
      <c r="H169" s="4" t="s">
        <v>360</v>
      </c>
      <c r="I169" s="4">
        <v>7</v>
      </c>
      <c r="J169" s="4">
        <v>235</v>
      </c>
      <c r="K169" s="4">
        <v>1645</v>
      </c>
      <c r="L169" s="4">
        <v>234.48</v>
      </c>
      <c r="M169" s="10">
        <f t="shared" si="5"/>
        <v>0.14254103343465044</v>
      </c>
    </row>
    <row r="170" spans="1:13" x14ac:dyDescent="0.25">
      <c r="A170" s="8" t="s">
        <v>178</v>
      </c>
      <c r="B170" s="5" t="s">
        <v>490</v>
      </c>
      <c r="C170" s="6">
        <f>YEAR(B170)</f>
        <v>2023</v>
      </c>
      <c r="D170" s="5" t="str">
        <f t="shared" si="4"/>
        <v>Jan</v>
      </c>
      <c r="E170" s="4" t="s">
        <v>212</v>
      </c>
      <c r="F170" s="4" t="s">
        <v>214</v>
      </c>
      <c r="G170" s="4" t="s">
        <v>220</v>
      </c>
      <c r="H170" s="4" t="s">
        <v>337</v>
      </c>
      <c r="I170" s="4">
        <v>10</v>
      </c>
      <c r="J170" s="4">
        <v>106</v>
      </c>
      <c r="K170" s="4">
        <v>1060</v>
      </c>
      <c r="L170" s="4">
        <v>170.58</v>
      </c>
      <c r="M170" s="10">
        <f t="shared" si="5"/>
        <v>0.1609245283018868</v>
      </c>
    </row>
    <row r="171" spans="1:13" x14ac:dyDescent="0.25">
      <c r="A171" s="8" t="s">
        <v>179</v>
      </c>
      <c r="B171" s="5" t="s">
        <v>529</v>
      </c>
      <c r="C171" s="6">
        <f>YEAR(B171)</f>
        <v>2022</v>
      </c>
      <c r="D171" s="5" t="str">
        <f t="shared" si="4"/>
        <v>Jun</v>
      </c>
      <c r="E171" s="4" t="s">
        <v>211</v>
      </c>
      <c r="F171" s="4" t="s">
        <v>215</v>
      </c>
      <c r="G171" s="4" t="s">
        <v>222</v>
      </c>
      <c r="H171" s="4" t="s">
        <v>259</v>
      </c>
      <c r="I171" s="4">
        <v>2</v>
      </c>
      <c r="J171" s="4">
        <v>405</v>
      </c>
      <c r="K171" s="4">
        <v>810</v>
      </c>
      <c r="L171" s="4">
        <v>168.79</v>
      </c>
      <c r="M171" s="10">
        <f t="shared" si="5"/>
        <v>0.20838271604938272</v>
      </c>
    </row>
    <row r="172" spans="1:13" x14ac:dyDescent="0.25">
      <c r="A172" s="8" t="s">
        <v>180</v>
      </c>
      <c r="B172" s="5" t="s">
        <v>406</v>
      </c>
      <c r="C172" s="6">
        <f>YEAR(B172)</f>
        <v>2023</v>
      </c>
      <c r="D172" s="5" t="str">
        <f t="shared" si="4"/>
        <v>Jun</v>
      </c>
      <c r="E172" s="4" t="s">
        <v>213</v>
      </c>
      <c r="F172" s="4" t="s">
        <v>214</v>
      </c>
      <c r="G172" s="4" t="s">
        <v>220</v>
      </c>
      <c r="H172" s="4" t="s">
        <v>282</v>
      </c>
      <c r="I172" s="4">
        <v>9</v>
      </c>
      <c r="J172" s="4">
        <v>65</v>
      </c>
      <c r="K172" s="4">
        <v>585</v>
      </c>
      <c r="L172" s="4">
        <v>70.430000000000007</v>
      </c>
      <c r="M172" s="10">
        <f t="shared" si="5"/>
        <v>0.1203931623931624</v>
      </c>
    </row>
    <row r="173" spans="1:13" x14ac:dyDescent="0.25">
      <c r="A173" s="8" t="s">
        <v>181</v>
      </c>
      <c r="B173" s="5" t="s">
        <v>463</v>
      </c>
      <c r="C173" s="6">
        <f>YEAR(B173)</f>
        <v>2022</v>
      </c>
      <c r="D173" s="5" t="str">
        <f t="shared" si="4"/>
        <v>Dec</v>
      </c>
      <c r="E173" s="4" t="s">
        <v>210</v>
      </c>
      <c r="F173" s="4" t="s">
        <v>214</v>
      </c>
      <c r="G173" s="4" t="s">
        <v>224</v>
      </c>
      <c r="H173" s="4" t="s">
        <v>361</v>
      </c>
      <c r="I173" s="4">
        <v>3</v>
      </c>
      <c r="J173" s="4">
        <v>54</v>
      </c>
      <c r="K173" s="4">
        <v>162</v>
      </c>
      <c r="L173" s="4">
        <v>45.93</v>
      </c>
      <c r="M173" s="10">
        <f t="shared" si="5"/>
        <v>0.2835185185185185</v>
      </c>
    </row>
    <row r="174" spans="1:13" x14ac:dyDescent="0.25">
      <c r="A174" s="8" t="s">
        <v>182</v>
      </c>
      <c r="B174" s="5" t="s">
        <v>530</v>
      </c>
      <c r="C174" s="6">
        <f>YEAR(B174)</f>
        <v>2023</v>
      </c>
      <c r="D174" s="5" t="str">
        <f t="shared" si="4"/>
        <v>Jun</v>
      </c>
      <c r="E174" s="4" t="s">
        <v>212</v>
      </c>
      <c r="F174" s="4" t="s">
        <v>216</v>
      </c>
      <c r="G174" s="4" t="s">
        <v>223</v>
      </c>
      <c r="H174" s="4" t="s">
        <v>362</v>
      </c>
      <c r="I174" s="4">
        <v>4</v>
      </c>
      <c r="J174" s="4">
        <v>185</v>
      </c>
      <c r="K174" s="4">
        <v>740</v>
      </c>
      <c r="L174" s="4">
        <v>136.94999999999999</v>
      </c>
      <c r="M174" s="10">
        <f t="shared" si="5"/>
        <v>0.18506756756756756</v>
      </c>
    </row>
    <row r="175" spans="1:13" x14ac:dyDescent="0.25">
      <c r="A175" s="8" t="s">
        <v>183</v>
      </c>
      <c r="B175" s="5" t="s">
        <v>531</v>
      </c>
      <c r="C175" s="6">
        <f>YEAR(B175)</f>
        <v>2023</v>
      </c>
      <c r="D175" s="5" t="str">
        <f t="shared" si="4"/>
        <v>Dec</v>
      </c>
      <c r="E175" s="4" t="s">
        <v>210</v>
      </c>
      <c r="F175" s="4" t="s">
        <v>216</v>
      </c>
      <c r="G175" s="4" t="s">
        <v>223</v>
      </c>
      <c r="H175" s="4" t="s">
        <v>363</v>
      </c>
      <c r="I175" s="4">
        <v>7</v>
      </c>
      <c r="J175" s="4">
        <v>476</v>
      </c>
      <c r="K175" s="4">
        <v>3332</v>
      </c>
      <c r="L175" s="4">
        <v>745.28</v>
      </c>
      <c r="M175" s="10">
        <f t="shared" si="5"/>
        <v>0.22367346938775509</v>
      </c>
    </row>
    <row r="176" spans="1:13" x14ac:dyDescent="0.25">
      <c r="A176" s="8" t="s">
        <v>184</v>
      </c>
      <c r="B176" s="5" t="s">
        <v>532</v>
      </c>
      <c r="C176" s="6">
        <f>YEAR(B176)</f>
        <v>2022</v>
      </c>
      <c r="D176" s="5" t="str">
        <f t="shared" si="4"/>
        <v>Feb</v>
      </c>
      <c r="E176" s="4" t="s">
        <v>212</v>
      </c>
      <c r="F176" s="4" t="s">
        <v>215</v>
      </c>
      <c r="G176" s="4" t="s">
        <v>225</v>
      </c>
      <c r="H176" s="4" t="s">
        <v>364</v>
      </c>
      <c r="I176" s="4">
        <v>1</v>
      </c>
      <c r="J176" s="4">
        <v>415</v>
      </c>
      <c r="K176" s="4">
        <v>415</v>
      </c>
      <c r="L176" s="4">
        <v>111.03</v>
      </c>
      <c r="M176" s="10">
        <f t="shared" si="5"/>
        <v>0.26754216867469882</v>
      </c>
    </row>
    <row r="177" spans="1:13" x14ac:dyDescent="0.25">
      <c r="A177" s="8" t="s">
        <v>185</v>
      </c>
      <c r="B177" s="5" t="s">
        <v>533</v>
      </c>
      <c r="C177" s="6">
        <f>YEAR(B177)</f>
        <v>2023</v>
      </c>
      <c r="D177" s="5" t="str">
        <f t="shared" si="4"/>
        <v>Jul</v>
      </c>
      <c r="E177" s="4" t="s">
        <v>211</v>
      </c>
      <c r="F177" s="4" t="s">
        <v>214</v>
      </c>
      <c r="G177" s="4" t="s">
        <v>217</v>
      </c>
      <c r="H177" s="4" t="s">
        <v>234</v>
      </c>
      <c r="I177" s="4">
        <v>10</v>
      </c>
      <c r="J177" s="4">
        <v>316</v>
      </c>
      <c r="K177" s="4">
        <v>3160</v>
      </c>
      <c r="L177" s="4">
        <v>611.15</v>
      </c>
      <c r="M177" s="10">
        <f t="shared" si="5"/>
        <v>0.19340189873417721</v>
      </c>
    </row>
    <row r="178" spans="1:13" x14ac:dyDescent="0.25">
      <c r="A178" s="8" t="s">
        <v>186</v>
      </c>
      <c r="B178" s="5" t="s">
        <v>534</v>
      </c>
      <c r="C178" s="6">
        <f>YEAR(B178)</f>
        <v>2022</v>
      </c>
      <c r="D178" s="5" t="str">
        <f t="shared" si="4"/>
        <v>Apr</v>
      </c>
      <c r="E178" s="4" t="s">
        <v>211</v>
      </c>
      <c r="F178" s="4" t="s">
        <v>216</v>
      </c>
      <c r="G178" s="4" t="s">
        <v>223</v>
      </c>
      <c r="H178" s="4" t="s">
        <v>328</v>
      </c>
      <c r="I178" s="4">
        <v>1</v>
      </c>
      <c r="J178" s="4">
        <v>401</v>
      </c>
      <c r="K178" s="4">
        <v>401</v>
      </c>
      <c r="L178" s="4">
        <v>81.23</v>
      </c>
      <c r="M178" s="10">
        <f t="shared" si="5"/>
        <v>0.20256857855361596</v>
      </c>
    </row>
    <row r="179" spans="1:13" x14ac:dyDescent="0.25">
      <c r="A179" s="8" t="s">
        <v>187</v>
      </c>
      <c r="B179" s="5" t="s">
        <v>535</v>
      </c>
      <c r="C179" s="6">
        <f>YEAR(B179)</f>
        <v>2022</v>
      </c>
      <c r="D179" s="5" t="str">
        <f t="shared" si="4"/>
        <v>Dec</v>
      </c>
      <c r="E179" s="4" t="s">
        <v>211</v>
      </c>
      <c r="F179" s="4" t="s">
        <v>216</v>
      </c>
      <c r="G179" s="4" t="s">
        <v>221</v>
      </c>
      <c r="H179" s="4" t="s">
        <v>365</v>
      </c>
      <c r="I179" s="4">
        <v>5</v>
      </c>
      <c r="J179" s="4">
        <v>357</v>
      </c>
      <c r="K179" s="4">
        <v>1785</v>
      </c>
      <c r="L179" s="4">
        <v>392.54</v>
      </c>
      <c r="M179" s="10">
        <f t="shared" si="5"/>
        <v>0.21991036414565829</v>
      </c>
    </row>
    <row r="180" spans="1:13" x14ac:dyDescent="0.25">
      <c r="A180" s="8" t="s">
        <v>188</v>
      </c>
      <c r="B180" s="5" t="s">
        <v>536</v>
      </c>
      <c r="C180" s="6">
        <f>YEAR(B180)</f>
        <v>2022</v>
      </c>
      <c r="D180" s="5" t="str">
        <f t="shared" si="4"/>
        <v>Nov</v>
      </c>
      <c r="E180" s="4" t="s">
        <v>213</v>
      </c>
      <c r="F180" s="4" t="s">
        <v>215</v>
      </c>
      <c r="G180" s="4" t="s">
        <v>218</v>
      </c>
      <c r="H180" s="4" t="s">
        <v>244</v>
      </c>
      <c r="I180" s="4">
        <v>5</v>
      </c>
      <c r="J180" s="4">
        <v>411</v>
      </c>
      <c r="K180" s="4">
        <v>2055</v>
      </c>
      <c r="L180" s="4">
        <v>252.36</v>
      </c>
      <c r="M180" s="10">
        <f t="shared" si="5"/>
        <v>0.1228029197080292</v>
      </c>
    </row>
    <row r="181" spans="1:13" x14ac:dyDescent="0.25">
      <c r="A181" s="8" t="s">
        <v>189</v>
      </c>
      <c r="B181" s="5" t="s">
        <v>537</v>
      </c>
      <c r="C181" s="6">
        <f>YEAR(B181)</f>
        <v>2023</v>
      </c>
      <c r="D181" s="5" t="str">
        <f t="shared" si="4"/>
        <v>Aug</v>
      </c>
      <c r="E181" s="4" t="s">
        <v>213</v>
      </c>
      <c r="F181" s="4" t="s">
        <v>214</v>
      </c>
      <c r="G181" s="4" t="s">
        <v>220</v>
      </c>
      <c r="H181" s="4" t="s">
        <v>366</v>
      </c>
      <c r="I181" s="4">
        <v>3</v>
      </c>
      <c r="J181" s="4">
        <v>107</v>
      </c>
      <c r="K181" s="4">
        <v>321</v>
      </c>
      <c r="L181" s="4">
        <v>76.52</v>
      </c>
      <c r="M181" s="10">
        <f t="shared" si="5"/>
        <v>0.23838006230529593</v>
      </c>
    </row>
    <row r="182" spans="1:13" x14ac:dyDescent="0.25">
      <c r="A182" s="8" t="s">
        <v>190</v>
      </c>
      <c r="B182" s="5" t="s">
        <v>538</v>
      </c>
      <c r="C182" s="6">
        <f>YEAR(B182)</f>
        <v>2023</v>
      </c>
      <c r="D182" s="5" t="str">
        <f t="shared" si="4"/>
        <v>Feb</v>
      </c>
      <c r="E182" s="4" t="s">
        <v>211</v>
      </c>
      <c r="F182" s="4" t="s">
        <v>216</v>
      </c>
      <c r="G182" s="4" t="s">
        <v>223</v>
      </c>
      <c r="H182" s="4" t="s">
        <v>329</v>
      </c>
      <c r="I182" s="4">
        <v>10</v>
      </c>
      <c r="J182" s="4">
        <v>374</v>
      </c>
      <c r="K182" s="4">
        <v>3740</v>
      </c>
      <c r="L182" s="4">
        <v>499.11</v>
      </c>
      <c r="M182" s="10">
        <f t="shared" si="5"/>
        <v>0.13345187165775402</v>
      </c>
    </row>
    <row r="183" spans="1:13" x14ac:dyDescent="0.25">
      <c r="A183" s="8" t="s">
        <v>191</v>
      </c>
      <c r="B183" s="5" t="s">
        <v>478</v>
      </c>
      <c r="C183" s="6">
        <f>YEAR(B183)</f>
        <v>2023</v>
      </c>
      <c r="D183" s="5" t="str">
        <f t="shared" si="4"/>
        <v>Sep</v>
      </c>
      <c r="E183" s="4" t="s">
        <v>210</v>
      </c>
      <c r="F183" s="4" t="s">
        <v>214</v>
      </c>
      <c r="G183" s="4" t="s">
        <v>224</v>
      </c>
      <c r="H183" s="4" t="s">
        <v>367</v>
      </c>
      <c r="I183" s="4">
        <v>2</v>
      </c>
      <c r="J183" s="4">
        <v>254</v>
      </c>
      <c r="K183" s="4">
        <v>508</v>
      </c>
      <c r="L183" s="4">
        <v>96.34</v>
      </c>
      <c r="M183" s="10">
        <f t="shared" si="5"/>
        <v>0.18964566929133858</v>
      </c>
    </row>
    <row r="184" spans="1:13" x14ac:dyDescent="0.25">
      <c r="A184" s="8" t="s">
        <v>192</v>
      </c>
      <c r="B184" s="5" t="s">
        <v>388</v>
      </c>
      <c r="C184" s="6">
        <f>YEAR(B184)</f>
        <v>2022</v>
      </c>
      <c r="D184" s="5" t="str">
        <f t="shared" si="4"/>
        <v>Jul</v>
      </c>
      <c r="E184" s="4" t="s">
        <v>211</v>
      </c>
      <c r="F184" s="4" t="s">
        <v>216</v>
      </c>
      <c r="G184" s="4" t="s">
        <v>219</v>
      </c>
      <c r="H184" s="4" t="s">
        <v>344</v>
      </c>
      <c r="I184" s="4">
        <v>5</v>
      </c>
      <c r="J184" s="4">
        <v>176</v>
      </c>
      <c r="K184" s="4">
        <v>880</v>
      </c>
      <c r="L184" s="4">
        <v>139.31</v>
      </c>
      <c r="M184" s="10">
        <f t="shared" si="5"/>
        <v>0.15830681818181819</v>
      </c>
    </row>
    <row r="185" spans="1:13" x14ac:dyDescent="0.25">
      <c r="A185" s="8" t="s">
        <v>193</v>
      </c>
      <c r="B185" s="5" t="s">
        <v>498</v>
      </c>
      <c r="C185" s="6">
        <f>YEAR(B185)</f>
        <v>2023</v>
      </c>
      <c r="D185" s="5" t="str">
        <f t="shared" si="4"/>
        <v>Aug</v>
      </c>
      <c r="E185" s="4" t="s">
        <v>213</v>
      </c>
      <c r="F185" s="4" t="s">
        <v>215</v>
      </c>
      <c r="G185" s="4" t="s">
        <v>222</v>
      </c>
      <c r="H185" s="4" t="s">
        <v>368</v>
      </c>
      <c r="I185" s="4">
        <v>2</v>
      </c>
      <c r="J185" s="4">
        <v>66</v>
      </c>
      <c r="K185" s="4">
        <v>132</v>
      </c>
      <c r="L185" s="4">
        <v>36.520000000000003</v>
      </c>
      <c r="M185" s="10">
        <f t="shared" si="5"/>
        <v>0.27666666666666667</v>
      </c>
    </row>
    <row r="186" spans="1:13" x14ac:dyDescent="0.25">
      <c r="A186" s="8" t="s">
        <v>194</v>
      </c>
      <c r="B186" s="5" t="s">
        <v>539</v>
      </c>
      <c r="C186" s="6">
        <f>YEAR(B186)</f>
        <v>2022</v>
      </c>
      <c r="D186" s="5" t="str">
        <f t="shared" si="4"/>
        <v>Aug</v>
      </c>
      <c r="E186" s="4" t="s">
        <v>213</v>
      </c>
      <c r="F186" s="4" t="s">
        <v>214</v>
      </c>
      <c r="G186" s="4" t="s">
        <v>224</v>
      </c>
      <c r="H186" s="4" t="s">
        <v>369</v>
      </c>
      <c r="I186" s="4">
        <v>7</v>
      </c>
      <c r="J186" s="4">
        <v>260</v>
      </c>
      <c r="K186" s="4">
        <v>1820</v>
      </c>
      <c r="L186" s="4">
        <v>256.19</v>
      </c>
      <c r="M186" s="10">
        <f t="shared" si="5"/>
        <v>0.14076373626373626</v>
      </c>
    </row>
    <row r="187" spans="1:13" x14ac:dyDescent="0.25">
      <c r="A187" s="8" t="s">
        <v>195</v>
      </c>
      <c r="B187" s="5" t="s">
        <v>540</v>
      </c>
      <c r="C187" s="6">
        <f>YEAR(B187)</f>
        <v>2022</v>
      </c>
      <c r="D187" s="5" t="str">
        <f t="shared" si="4"/>
        <v>Jun</v>
      </c>
      <c r="E187" s="4" t="s">
        <v>213</v>
      </c>
      <c r="F187" s="4" t="s">
        <v>216</v>
      </c>
      <c r="G187" s="4" t="s">
        <v>223</v>
      </c>
      <c r="H187" s="4" t="s">
        <v>292</v>
      </c>
      <c r="I187" s="4">
        <v>3</v>
      </c>
      <c r="J187" s="4">
        <v>420</v>
      </c>
      <c r="K187" s="4">
        <v>1260</v>
      </c>
      <c r="L187" s="4">
        <v>315.22000000000003</v>
      </c>
      <c r="M187" s="10">
        <f t="shared" si="5"/>
        <v>0.25017460317460322</v>
      </c>
    </row>
    <row r="188" spans="1:13" x14ac:dyDescent="0.25">
      <c r="A188" s="8" t="s">
        <v>196</v>
      </c>
      <c r="B188" s="5" t="s">
        <v>541</v>
      </c>
      <c r="C188" s="6">
        <f>YEAR(B188)</f>
        <v>2023</v>
      </c>
      <c r="D188" s="5" t="str">
        <f t="shared" si="4"/>
        <v>Nov</v>
      </c>
      <c r="E188" s="4" t="s">
        <v>213</v>
      </c>
      <c r="F188" s="4" t="s">
        <v>214</v>
      </c>
      <c r="G188" s="4" t="s">
        <v>220</v>
      </c>
      <c r="H188" s="4" t="s">
        <v>250</v>
      </c>
      <c r="I188" s="4">
        <v>4</v>
      </c>
      <c r="J188" s="4">
        <v>457</v>
      </c>
      <c r="K188" s="4">
        <v>1828</v>
      </c>
      <c r="L188" s="4">
        <v>495.65</v>
      </c>
      <c r="M188" s="10">
        <f t="shared" si="5"/>
        <v>0.27114332603938729</v>
      </c>
    </row>
    <row r="189" spans="1:13" x14ac:dyDescent="0.25">
      <c r="A189" s="8" t="s">
        <v>197</v>
      </c>
      <c r="B189" s="5" t="s">
        <v>542</v>
      </c>
      <c r="C189" s="6">
        <f>YEAR(B189)</f>
        <v>2022</v>
      </c>
      <c r="D189" s="5" t="str">
        <f t="shared" si="4"/>
        <v>May</v>
      </c>
      <c r="E189" s="4" t="s">
        <v>210</v>
      </c>
      <c r="F189" s="4" t="s">
        <v>216</v>
      </c>
      <c r="G189" s="4" t="s">
        <v>221</v>
      </c>
      <c r="H189" s="4" t="s">
        <v>266</v>
      </c>
      <c r="I189" s="4">
        <v>6</v>
      </c>
      <c r="J189" s="4">
        <v>80</v>
      </c>
      <c r="K189" s="4">
        <v>480</v>
      </c>
      <c r="L189" s="4">
        <v>136.66999999999999</v>
      </c>
      <c r="M189" s="10">
        <f t="shared" si="5"/>
        <v>0.28472916666666664</v>
      </c>
    </row>
    <row r="190" spans="1:13" x14ac:dyDescent="0.25">
      <c r="A190" s="8" t="s">
        <v>198</v>
      </c>
      <c r="B190" s="5" t="s">
        <v>543</v>
      </c>
      <c r="C190" s="6">
        <f>YEAR(B190)</f>
        <v>2022</v>
      </c>
      <c r="D190" s="5" t="str">
        <f t="shared" si="4"/>
        <v>Mar</v>
      </c>
      <c r="E190" s="4" t="s">
        <v>212</v>
      </c>
      <c r="F190" s="4" t="s">
        <v>214</v>
      </c>
      <c r="G190" s="4" t="s">
        <v>220</v>
      </c>
      <c r="H190" s="4" t="s">
        <v>370</v>
      </c>
      <c r="I190" s="4">
        <v>2</v>
      </c>
      <c r="J190" s="4">
        <v>221</v>
      </c>
      <c r="K190" s="4">
        <v>442</v>
      </c>
      <c r="L190" s="4">
        <v>86.22</v>
      </c>
      <c r="M190" s="10">
        <f t="shared" si="5"/>
        <v>0.19506787330316741</v>
      </c>
    </row>
    <row r="191" spans="1:13" x14ac:dyDescent="0.25">
      <c r="A191" s="8" t="s">
        <v>199</v>
      </c>
      <c r="B191" s="5" t="s">
        <v>531</v>
      </c>
      <c r="C191" s="6">
        <f>YEAR(B191)</f>
        <v>2023</v>
      </c>
      <c r="D191" s="5" t="str">
        <f t="shared" si="4"/>
        <v>Dec</v>
      </c>
      <c r="E191" s="4" t="s">
        <v>211</v>
      </c>
      <c r="F191" s="4" t="s">
        <v>216</v>
      </c>
      <c r="G191" s="4" t="s">
        <v>221</v>
      </c>
      <c r="H191" s="4" t="s">
        <v>300</v>
      </c>
      <c r="I191" s="4">
        <v>1</v>
      </c>
      <c r="J191" s="4">
        <v>198</v>
      </c>
      <c r="K191" s="4">
        <v>198</v>
      </c>
      <c r="L191" s="4">
        <v>34.880000000000003</v>
      </c>
      <c r="M191" s="10">
        <f t="shared" si="5"/>
        <v>0.17616161616161619</v>
      </c>
    </row>
    <row r="192" spans="1:13" x14ac:dyDescent="0.25">
      <c r="A192" s="8" t="s">
        <v>200</v>
      </c>
      <c r="B192" s="5" t="s">
        <v>544</v>
      </c>
      <c r="C192" s="6">
        <f>YEAR(B192)</f>
        <v>2022</v>
      </c>
      <c r="D192" s="5" t="str">
        <f t="shared" si="4"/>
        <v>Jun</v>
      </c>
      <c r="E192" s="4" t="s">
        <v>211</v>
      </c>
      <c r="F192" s="4" t="s">
        <v>215</v>
      </c>
      <c r="G192" s="4" t="s">
        <v>218</v>
      </c>
      <c r="H192" s="4" t="s">
        <v>244</v>
      </c>
      <c r="I192" s="4">
        <v>7</v>
      </c>
      <c r="J192" s="4">
        <v>405</v>
      </c>
      <c r="K192" s="4">
        <v>2835</v>
      </c>
      <c r="L192" s="4">
        <v>601.44000000000005</v>
      </c>
      <c r="M192" s="10">
        <f t="shared" si="5"/>
        <v>0.21214814814814817</v>
      </c>
    </row>
    <row r="193" spans="1:13" x14ac:dyDescent="0.25">
      <c r="A193" s="8" t="s">
        <v>201</v>
      </c>
      <c r="B193" s="5" t="s">
        <v>545</v>
      </c>
      <c r="C193" s="6">
        <f>YEAR(B193)</f>
        <v>2023</v>
      </c>
      <c r="D193" s="5" t="str">
        <f t="shared" si="4"/>
        <v>Jul</v>
      </c>
      <c r="E193" s="4" t="s">
        <v>210</v>
      </c>
      <c r="F193" s="4" t="s">
        <v>215</v>
      </c>
      <c r="G193" s="4" t="s">
        <v>225</v>
      </c>
      <c r="H193" s="4" t="s">
        <v>371</v>
      </c>
      <c r="I193" s="4">
        <v>1</v>
      </c>
      <c r="J193" s="4">
        <v>70</v>
      </c>
      <c r="K193" s="4">
        <v>70</v>
      </c>
      <c r="L193" s="4">
        <v>10.029999999999999</v>
      </c>
      <c r="M193" s="10">
        <f t="shared" si="5"/>
        <v>0.14328571428571427</v>
      </c>
    </row>
    <row r="194" spans="1:13" x14ac:dyDescent="0.25">
      <c r="A194" s="8" t="s">
        <v>202</v>
      </c>
      <c r="B194" s="5" t="s">
        <v>546</v>
      </c>
      <c r="C194" s="6">
        <f>YEAR(B194)</f>
        <v>2023</v>
      </c>
      <c r="D194" s="5" t="str">
        <f t="shared" si="4"/>
        <v>Sep</v>
      </c>
      <c r="E194" s="4" t="s">
        <v>210</v>
      </c>
      <c r="F194" s="4" t="s">
        <v>215</v>
      </c>
      <c r="G194" s="4" t="s">
        <v>218</v>
      </c>
      <c r="H194" s="4" t="s">
        <v>372</v>
      </c>
      <c r="I194" s="4">
        <v>5</v>
      </c>
      <c r="J194" s="4">
        <v>352</v>
      </c>
      <c r="K194" s="4">
        <v>1760</v>
      </c>
      <c r="L194" s="4">
        <v>331.63</v>
      </c>
      <c r="M194" s="10">
        <f t="shared" si="5"/>
        <v>0.18842613636363637</v>
      </c>
    </row>
    <row r="195" spans="1:13" x14ac:dyDescent="0.25">
      <c r="A195" s="8" t="s">
        <v>203</v>
      </c>
      <c r="B195" s="5" t="s">
        <v>413</v>
      </c>
      <c r="C195" s="6">
        <f>YEAR(B195)</f>
        <v>2022</v>
      </c>
      <c r="D195" s="5" t="str">
        <f t="shared" ref="D195:D201" si="6">TEXT(B195,"mmm")</f>
        <v>Oct</v>
      </c>
      <c r="E195" s="4" t="s">
        <v>211</v>
      </c>
      <c r="F195" s="4" t="s">
        <v>214</v>
      </c>
      <c r="G195" s="4" t="s">
        <v>224</v>
      </c>
      <c r="H195" s="4" t="s">
        <v>373</v>
      </c>
      <c r="I195" s="4">
        <v>10</v>
      </c>
      <c r="J195" s="4">
        <v>311</v>
      </c>
      <c r="K195" s="4">
        <v>3110</v>
      </c>
      <c r="L195" s="4">
        <v>370.82</v>
      </c>
      <c r="M195" s="10">
        <f t="shared" ref="M195:M201" si="7">IF(K195=0,0,L195/K195)</f>
        <v>0.11923472668810289</v>
      </c>
    </row>
    <row r="196" spans="1:13" x14ac:dyDescent="0.25">
      <c r="A196" s="8" t="s">
        <v>204</v>
      </c>
      <c r="B196" s="5" t="s">
        <v>547</v>
      </c>
      <c r="C196" s="6">
        <f>YEAR(B196)</f>
        <v>2023</v>
      </c>
      <c r="D196" s="5" t="str">
        <f t="shared" si="6"/>
        <v>Oct</v>
      </c>
      <c r="E196" s="4" t="s">
        <v>213</v>
      </c>
      <c r="F196" s="4" t="s">
        <v>216</v>
      </c>
      <c r="G196" s="4" t="s">
        <v>223</v>
      </c>
      <c r="H196" s="4" t="s">
        <v>328</v>
      </c>
      <c r="I196" s="4">
        <v>4</v>
      </c>
      <c r="J196" s="4">
        <v>197</v>
      </c>
      <c r="K196" s="4">
        <v>788</v>
      </c>
      <c r="L196" s="4">
        <v>177.5</v>
      </c>
      <c r="M196" s="10">
        <f t="shared" si="7"/>
        <v>0.22525380710659898</v>
      </c>
    </row>
    <row r="197" spans="1:13" x14ac:dyDescent="0.25">
      <c r="A197" s="8" t="s">
        <v>205</v>
      </c>
      <c r="B197" s="5" t="s">
        <v>525</v>
      </c>
      <c r="C197" s="6">
        <f>YEAR(B197)</f>
        <v>2022</v>
      </c>
      <c r="D197" s="5" t="str">
        <f t="shared" si="6"/>
        <v>Aug</v>
      </c>
      <c r="E197" s="4" t="s">
        <v>212</v>
      </c>
      <c r="F197" s="4" t="s">
        <v>214</v>
      </c>
      <c r="G197" s="4" t="s">
        <v>220</v>
      </c>
      <c r="H197" s="4" t="s">
        <v>374</v>
      </c>
      <c r="I197" s="4">
        <v>6</v>
      </c>
      <c r="J197" s="4">
        <v>333</v>
      </c>
      <c r="K197" s="4">
        <v>1998</v>
      </c>
      <c r="L197" s="4">
        <v>364.85</v>
      </c>
      <c r="M197" s="10">
        <f t="shared" si="7"/>
        <v>0.18260760760760761</v>
      </c>
    </row>
    <row r="198" spans="1:13" x14ac:dyDescent="0.25">
      <c r="A198" s="8" t="s">
        <v>206</v>
      </c>
      <c r="B198" s="5" t="s">
        <v>548</v>
      </c>
      <c r="C198" s="6">
        <f>YEAR(B198)</f>
        <v>2022</v>
      </c>
      <c r="D198" s="5" t="str">
        <f t="shared" si="6"/>
        <v>Oct</v>
      </c>
      <c r="E198" s="4" t="s">
        <v>212</v>
      </c>
      <c r="F198" s="4" t="s">
        <v>214</v>
      </c>
      <c r="G198" s="4" t="s">
        <v>220</v>
      </c>
      <c r="H198" s="4" t="s">
        <v>325</v>
      </c>
      <c r="I198" s="4">
        <v>2</v>
      </c>
      <c r="J198" s="4">
        <v>76</v>
      </c>
      <c r="K198" s="4">
        <v>152</v>
      </c>
      <c r="L198" s="4">
        <v>30.47</v>
      </c>
      <c r="M198" s="10">
        <f t="shared" si="7"/>
        <v>0.20046052631578948</v>
      </c>
    </row>
    <row r="199" spans="1:13" x14ac:dyDescent="0.25">
      <c r="A199" s="8" t="s">
        <v>207</v>
      </c>
      <c r="B199" s="5" t="s">
        <v>455</v>
      </c>
      <c r="C199" s="6">
        <f>YEAR(B199)</f>
        <v>2022</v>
      </c>
      <c r="D199" s="5" t="str">
        <f t="shared" si="6"/>
        <v>Jun</v>
      </c>
      <c r="E199" s="4" t="s">
        <v>210</v>
      </c>
      <c r="F199" s="4" t="s">
        <v>214</v>
      </c>
      <c r="G199" s="4" t="s">
        <v>220</v>
      </c>
      <c r="H199" s="4" t="s">
        <v>278</v>
      </c>
      <c r="I199" s="4">
        <v>5</v>
      </c>
      <c r="J199" s="4">
        <v>243</v>
      </c>
      <c r="K199" s="4">
        <v>1215</v>
      </c>
      <c r="L199" s="4">
        <v>146.46</v>
      </c>
      <c r="M199" s="10">
        <f t="shared" si="7"/>
        <v>0.12054320987654321</v>
      </c>
    </row>
    <row r="200" spans="1:13" x14ac:dyDescent="0.25">
      <c r="A200" s="8" t="s">
        <v>208</v>
      </c>
      <c r="B200" s="5" t="s">
        <v>549</v>
      </c>
      <c r="C200" s="6">
        <f>YEAR(B200)</f>
        <v>2023</v>
      </c>
      <c r="D200" s="5" t="str">
        <f t="shared" si="6"/>
        <v>Oct</v>
      </c>
      <c r="E200" s="4" t="s">
        <v>213</v>
      </c>
      <c r="F200" s="4" t="s">
        <v>215</v>
      </c>
      <c r="G200" s="4" t="s">
        <v>225</v>
      </c>
      <c r="H200" s="4" t="s">
        <v>356</v>
      </c>
      <c r="I200" s="4">
        <v>3</v>
      </c>
      <c r="J200" s="4">
        <v>115</v>
      </c>
      <c r="K200" s="4">
        <v>345</v>
      </c>
      <c r="L200" s="4">
        <v>71.040000000000006</v>
      </c>
      <c r="M200" s="10">
        <f t="shared" si="7"/>
        <v>0.20591304347826089</v>
      </c>
    </row>
    <row r="201" spans="1:13" x14ac:dyDescent="0.25">
      <c r="A201" s="11" t="s">
        <v>209</v>
      </c>
      <c r="B201" s="12" t="s">
        <v>550</v>
      </c>
      <c r="C201" s="13">
        <f>YEAR(B201)</f>
        <v>2023</v>
      </c>
      <c r="D201" s="12" t="str">
        <f t="shared" si="6"/>
        <v>Oct</v>
      </c>
      <c r="E201" s="14" t="s">
        <v>212</v>
      </c>
      <c r="F201" s="14" t="s">
        <v>215</v>
      </c>
      <c r="G201" s="14" t="s">
        <v>218</v>
      </c>
      <c r="H201" s="14" t="s">
        <v>372</v>
      </c>
      <c r="I201" s="14">
        <v>1</v>
      </c>
      <c r="J201" s="14">
        <v>97</v>
      </c>
      <c r="K201" s="14">
        <v>97</v>
      </c>
      <c r="L201" s="14">
        <v>12.97</v>
      </c>
      <c r="M201" s="15">
        <f t="shared" si="7"/>
        <v>0.13371134020618558</v>
      </c>
    </row>
  </sheetData>
  <conditionalFormatting sqref="A1:A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8E14CF6-E85E-4AF5-B6E9-35CB44F5877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DB66C7D-E90A-4494-9A9E-E50FE5601067}">
  <ds:schemaRefs/>
</ds:datastoreItem>
</file>

<file path=customXml/itemProps3.xml><?xml version="1.0" encoding="utf-8"?>
<ds:datastoreItem xmlns:ds="http://schemas.openxmlformats.org/officeDocument/2006/customXml" ds:itemID="{B66E9286-76E1-4241-A62F-0844ED5636ED}">
  <ds:schemaRefs/>
</ds:datastoreItem>
</file>

<file path=customXml/itemProps4.xml><?xml version="1.0" encoding="utf-8"?>
<ds:datastoreItem xmlns:ds="http://schemas.openxmlformats.org/officeDocument/2006/customXml" ds:itemID="{831E521E-E8CF-45AD-AECB-F588FAC50CEA}">
  <ds:schemaRefs/>
</ds:datastoreItem>
</file>

<file path=customXml/itemProps5.xml><?xml version="1.0" encoding="utf-8"?>
<ds:datastoreItem xmlns:ds="http://schemas.openxmlformats.org/officeDocument/2006/customXml" ds:itemID="{9C57C510-C659-4FF0-9763-B9EB413A2A78}">
  <ds:schemaRefs/>
</ds:datastoreItem>
</file>

<file path=customXml/itemProps6.xml><?xml version="1.0" encoding="utf-8"?>
<ds:datastoreItem xmlns:ds="http://schemas.openxmlformats.org/officeDocument/2006/customXml" ds:itemID="{E150B526-5BAE-4227-A036-DB81318A4BE6}">
  <ds:schemaRefs/>
</ds:datastoreItem>
</file>

<file path=customXml/itemProps7.xml><?xml version="1.0" encoding="utf-8"?>
<ds:datastoreItem xmlns:ds="http://schemas.openxmlformats.org/officeDocument/2006/customXml" ds:itemID="{8AE52CF4-D552-424D-885A-F6A0E5D78E1F}">
  <ds:schemaRefs/>
</ds:datastoreItem>
</file>

<file path=customXml/itemProps8.xml><?xml version="1.0" encoding="utf-8"?>
<ds:datastoreItem xmlns:ds="http://schemas.openxmlformats.org/officeDocument/2006/customXml" ds:itemID="{4AC13239-F1EB-44C4-827F-D08B2D33DDF3}">
  <ds:schemaRefs/>
</ds:datastoreItem>
</file>

<file path=customXml/itemProps9.xml><?xml version="1.0" encoding="utf-8"?>
<ds:datastoreItem xmlns:ds="http://schemas.openxmlformats.org/officeDocument/2006/customXml" ds:itemID="{AA207EDF-D569-468E-A2EC-191E72341997}">
  <ds:schemaRefs/>
</ds:datastoreItem>
</file>

<file path=customXml/itemProps10.xml><?xml version="1.0" encoding="utf-8"?>
<ds:datastoreItem xmlns:ds="http://schemas.openxmlformats.org/officeDocument/2006/customXml" ds:itemID="{FF68AE02-3485-4C9B-81DD-C98BB2EC2FD9}">
  <ds:schemaRefs/>
</ds:datastoreItem>
</file>

<file path=customXml/itemProps11.xml><?xml version="1.0" encoding="utf-8"?>
<ds:datastoreItem xmlns:ds="http://schemas.openxmlformats.org/officeDocument/2006/customXml" ds:itemID="{F2F704CD-5D34-4F3D-B5F7-80E3DCB4E642}">
  <ds:schemaRefs/>
</ds:datastoreItem>
</file>

<file path=customXml/itemProps12.xml><?xml version="1.0" encoding="utf-8"?>
<ds:datastoreItem xmlns:ds="http://schemas.openxmlformats.org/officeDocument/2006/customXml" ds:itemID="{FF1B4796-9A2F-4B90-8601-63999BE8DA14}">
  <ds:schemaRefs/>
</ds:datastoreItem>
</file>

<file path=customXml/itemProps13.xml><?xml version="1.0" encoding="utf-8"?>
<ds:datastoreItem xmlns:ds="http://schemas.openxmlformats.org/officeDocument/2006/customXml" ds:itemID="{61035F02-04FC-446D-B03E-38E5280EB331}">
  <ds:schemaRefs/>
</ds:datastoreItem>
</file>

<file path=customXml/itemProps14.xml><?xml version="1.0" encoding="utf-8"?>
<ds:datastoreItem xmlns:ds="http://schemas.openxmlformats.org/officeDocument/2006/customXml" ds:itemID="{99A72382-4EC7-43C5-BC17-8F4A68CA1CFE}">
  <ds:schemaRefs/>
</ds:datastoreItem>
</file>

<file path=customXml/itemProps15.xml><?xml version="1.0" encoding="utf-8"?>
<ds:datastoreItem xmlns:ds="http://schemas.openxmlformats.org/officeDocument/2006/customXml" ds:itemID="{D8C82E60-563B-4846-BDF9-A7E4E0A08262}">
  <ds:schemaRefs/>
</ds:datastoreItem>
</file>

<file path=customXml/itemProps16.xml><?xml version="1.0" encoding="utf-8"?>
<ds:datastoreItem xmlns:ds="http://schemas.openxmlformats.org/officeDocument/2006/customXml" ds:itemID="{5A8563D7-FBC6-43E5-896F-983A83F34B6D}">
  <ds:schemaRefs/>
</ds:datastoreItem>
</file>

<file path=customXml/itemProps17.xml><?xml version="1.0" encoding="utf-8"?>
<ds:datastoreItem xmlns:ds="http://schemas.openxmlformats.org/officeDocument/2006/customXml" ds:itemID="{A3A486D3-F1DD-44D9-ACBC-F243369E73C1}">
  <ds:schemaRefs/>
</ds:datastoreItem>
</file>

<file path=customXml/itemProps18.xml><?xml version="1.0" encoding="utf-8"?>
<ds:datastoreItem xmlns:ds="http://schemas.openxmlformats.org/officeDocument/2006/customXml" ds:itemID="{F777BF7F-ADF1-4205-B968-1CD3485F8C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Visuals</vt:lpstr>
      <vt:lpstr>PQE Table1</vt:lpstr>
      <vt:lpstr>Original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SULTAN KHAN</cp:lastModifiedBy>
  <dcterms:created xsi:type="dcterms:W3CDTF">2025-11-20T16:37:39Z</dcterms:created>
  <dcterms:modified xsi:type="dcterms:W3CDTF">2025-11-22T04:44:59Z</dcterms:modified>
</cp:coreProperties>
</file>